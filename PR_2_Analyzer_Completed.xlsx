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ral\Downloads\"/>
    </mc:Choice>
  </mc:AlternateContent>
  <xr:revisionPtr revIDLastSave="0" documentId="13_ncr:1_{7092D95D-39F5-499F-A31B-6280EA182B8C}" xr6:coauthVersionLast="47" xr6:coauthVersionMax="47" xr10:uidLastSave="{00000000-0000-0000-0000-000000000000}"/>
  <bookViews>
    <workbookView xWindow="5448" yWindow="2460" windowWidth="17280" windowHeight="8880" activeTab="1" xr2:uid="{00000000-000D-0000-FFFF-FFFF00000000}"/>
  </bookViews>
  <sheets>
    <sheet name="Dashboard" sheetId="1" r:id="rId1"/>
    <sheet name="Project Instructions" sheetId="2" r:id="rId2"/>
    <sheet name="Dataset" sheetId="3" r:id="rId3"/>
    <sheet name="Customer Summary" sheetId="4" r:id="rId4"/>
    <sheet name="What-If Analysis" sheetId="5" r:id="rId5"/>
    <sheet name="Regression" sheetId="6" r:id="rId6"/>
    <sheet name="Descriptive Stats" sheetId="7" r:id="rId7"/>
    <sheet name="Histogram" sheetId="8" r:id="rId8"/>
    <sheet name="Monthly Growth" sheetId="9" r:id="rId9"/>
    <sheet name="High-Value Customers" sheetId="10" r:id="rId10"/>
    <sheet name="Pivot Analysi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1" l="1"/>
  <c r="F9" i="11"/>
  <c r="E9" i="11"/>
  <c r="D9" i="11"/>
  <c r="C9" i="11"/>
  <c r="B9" i="11"/>
  <c r="G8" i="11"/>
  <c r="G7" i="11"/>
  <c r="G6" i="11"/>
  <c r="G5" i="11"/>
  <c r="G4" i="11"/>
  <c r="G9" i="11" s="1"/>
  <c r="B20" i="10"/>
  <c r="B19" i="10"/>
  <c r="B18" i="10"/>
  <c r="C13" i="10"/>
  <c r="C12" i="10"/>
  <c r="C11" i="10"/>
  <c r="C10" i="10"/>
  <c r="C9" i="10"/>
  <c r="C8" i="10"/>
  <c r="C7" i="10"/>
  <c r="C6" i="10"/>
  <c r="C5" i="10"/>
  <c r="C4" i="10"/>
  <c r="E16" i="9"/>
  <c r="F16" i="9" s="1"/>
  <c r="E15" i="9"/>
  <c r="F15" i="9" s="1"/>
  <c r="E14" i="9"/>
  <c r="F14" i="9" s="1"/>
  <c r="E13" i="9"/>
  <c r="F13" i="9" s="1"/>
  <c r="E12" i="9"/>
  <c r="F12" i="9" s="1"/>
  <c r="E11" i="9"/>
  <c r="F11" i="9" s="1"/>
  <c r="E10" i="9"/>
  <c r="F10" i="9" s="1"/>
  <c r="E9" i="9"/>
  <c r="F9" i="9" s="1"/>
  <c r="E8" i="9"/>
  <c r="F8" i="9" s="1"/>
  <c r="E7" i="9"/>
  <c r="F7" i="9" s="1"/>
  <c r="E6" i="9"/>
  <c r="F6" i="9" s="1"/>
  <c r="F5" i="9"/>
  <c r="E5" i="9"/>
  <c r="B10" i="5"/>
  <c r="B9" i="5"/>
  <c r="B8" i="5"/>
  <c r="B7" i="5"/>
  <c r="B6" i="5"/>
  <c r="B5" i="5"/>
  <c r="B4" i="5"/>
  <c r="E33" i="4"/>
  <c r="D33" i="4"/>
  <c r="C33" i="4"/>
  <c r="F33" i="4" s="1"/>
  <c r="B33" i="4"/>
  <c r="E32" i="4"/>
  <c r="D32" i="4"/>
  <c r="C32" i="4"/>
  <c r="F32" i="4" s="1"/>
  <c r="B32" i="4"/>
  <c r="E31" i="4"/>
  <c r="D31" i="4"/>
  <c r="C31" i="4"/>
  <c r="F31" i="4" s="1"/>
  <c r="B31" i="4"/>
  <c r="E30" i="4"/>
  <c r="D30" i="4"/>
  <c r="C30" i="4"/>
  <c r="F30" i="4" s="1"/>
  <c r="B30" i="4"/>
  <c r="E29" i="4"/>
  <c r="D29" i="4"/>
  <c r="C29" i="4"/>
  <c r="F29" i="4" s="1"/>
  <c r="B29" i="4"/>
  <c r="E28" i="4"/>
  <c r="D28" i="4"/>
  <c r="C28" i="4"/>
  <c r="F28" i="4" s="1"/>
  <c r="B28" i="4"/>
  <c r="E27" i="4"/>
  <c r="D27" i="4"/>
  <c r="C27" i="4"/>
  <c r="F27" i="4" s="1"/>
  <c r="B27" i="4"/>
  <c r="E26" i="4"/>
  <c r="D26" i="4"/>
  <c r="C26" i="4"/>
  <c r="F26" i="4" s="1"/>
  <c r="B26" i="4"/>
  <c r="E25" i="4"/>
  <c r="D25" i="4"/>
  <c r="C25" i="4"/>
  <c r="F25" i="4" s="1"/>
  <c r="B25" i="4"/>
  <c r="E24" i="4"/>
  <c r="D24" i="4"/>
  <c r="C24" i="4"/>
  <c r="F24" i="4" s="1"/>
  <c r="B24" i="4"/>
  <c r="E23" i="4"/>
  <c r="D23" i="4"/>
  <c r="C23" i="4"/>
  <c r="F23" i="4" s="1"/>
  <c r="B23" i="4"/>
  <c r="F22" i="4"/>
  <c r="E22" i="4"/>
  <c r="D22" i="4"/>
  <c r="C22" i="4"/>
  <c r="B22" i="4"/>
  <c r="E21" i="4"/>
  <c r="D21" i="4"/>
  <c r="C21" i="4"/>
  <c r="F21" i="4" s="1"/>
  <c r="B21" i="4"/>
  <c r="E20" i="4"/>
  <c r="D20" i="4"/>
  <c r="C20" i="4"/>
  <c r="F20" i="4" s="1"/>
  <c r="B20" i="4"/>
  <c r="E19" i="4"/>
  <c r="D19" i="4"/>
  <c r="C19" i="4"/>
  <c r="F19" i="4" s="1"/>
  <c r="B19" i="4"/>
  <c r="E18" i="4"/>
  <c r="D18" i="4"/>
  <c r="C18" i="4"/>
  <c r="F18" i="4" s="1"/>
  <c r="B18" i="4"/>
  <c r="E17" i="4"/>
  <c r="D17" i="4"/>
  <c r="C17" i="4"/>
  <c r="F17" i="4" s="1"/>
  <c r="B17" i="4"/>
  <c r="E16" i="4"/>
  <c r="D16" i="4"/>
  <c r="C16" i="4"/>
  <c r="F16" i="4" s="1"/>
  <c r="B16" i="4"/>
  <c r="E15" i="4"/>
  <c r="D15" i="4"/>
  <c r="C15" i="4"/>
  <c r="F15" i="4" s="1"/>
  <c r="B15" i="4"/>
  <c r="E14" i="4"/>
  <c r="D14" i="4"/>
  <c r="C14" i="4"/>
  <c r="F14" i="4" s="1"/>
  <c r="B14" i="4"/>
  <c r="E13" i="4"/>
  <c r="D13" i="4"/>
  <c r="C13" i="4"/>
  <c r="F13" i="4" s="1"/>
  <c r="B13" i="4"/>
  <c r="E12" i="4"/>
  <c r="D12" i="4"/>
  <c r="C12" i="4"/>
  <c r="F12" i="4" s="1"/>
  <c r="B12" i="4"/>
  <c r="E11" i="4"/>
  <c r="D11" i="4"/>
  <c r="C11" i="4"/>
  <c r="F11" i="4" s="1"/>
  <c r="B11" i="4"/>
  <c r="E10" i="4"/>
  <c r="D10" i="4"/>
  <c r="C10" i="4"/>
  <c r="F10" i="4" s="1"/>
  <c r="B10" i="4"/>
  <c r="E9" i="4"/>
  <c r="D9" i="4"/>
  <c r="C9" i="4"/>
  <c r="F9" i="4" s="1"/>
  <c r="B9" i="4"/>
  <c r="E8" i="4"/>
  <c r="D8" i="4"/>
  <c r="C8" i="4"/>
  <c r="F8" i="4" s="1"/>
  <c r="B8" i="4"/>
  <c r="E7" i="4"/>
  <c r="D7" i="4"/>
  <c r="C7" i="4"/>
  <c r="F7" i="4" s="1"/>
  <c r="B7" i="4"/>
  <c r="F6" i="4"/>
  <c r="E6" i="4"/>
  <c r="D6" i="4"/>
  <c r="C6" i="4"/>
  <c r="B6" i="4"/>
  <c r="E5" i="4"/>
  <c r="D5" i="4"/>
  <c r="C5" i="4"/>
  <c r="F5" i="4" s="1"/>
  <c r="B5" i="4"/>
  <c r="E4" i="4"/>
  <c r="D4" i="4"/>
  <c r="C4" i="4"/>
  <c r="F4" i="4" s="1"/>
  <c r="B4" i="4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C13" i="11" l="1"/>
  <c r="C15" i="11"/>
  <c r="C16" i="11"/>
  <c r="C14" i="11"/>
  <c r="C12" i="11"/>
  <c r="C10" i="5"/>
  <c r="D10" i="5"/>
  <c r="C9" i="5"/>
  <c r="D9" i="5"/>
  <c r="C8" i="5"/>
  <c r="D8" i="5"/>
  <c r="C7" i="5"/>
  <c r="D7" i="5"/>
  <c r="C6" i="5"/>
  <c r="D6" i="5"/>
  <c r="C5" i="5"/>
  <c r="D5" i="5"/>
  <c r="C4" i="5"/>
  <c r="D4" i="5"/>
</calcChain>
</file>

<file path=xl/sharedStrings.xml><?xml version="1.0" encoding="utf-8"?>
<sst xmlns="http://schemas.openxmlformats.org/spreadsheetml/2006/main" count="1230" uniqueCount="177">
  <si>
    <t>SALES PERFORMANCE DASHBOARD</t>
  </si>
  <si>
    <t>Total Sales</t>
  </si>
  <si>
    <t>Total Profit</t>
  </si>
  <si>
    <t>Total Orders</t>
  </si>
  <si>
    <t>Avg Discount</t>
  </si>
  <si>
    <t>Top Region</t>
  </si>
  <si>
    <t>Top Category</t>
  </si>
  <si>
    <t>West</t>
  </si>
  <si>
    <t>Books</t>
  </si>
  <si>
    <t>Month</t>
  </si>
  <si>
    <t>Sales</t>
  </si>
  <si>
    <t>Profit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</si>
  <si>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</si>
  <si>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</si>
  <si>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</si>
  <si>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</si>
  <si>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</si>
  <si>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</si>
  <si>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</si>
  <si>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</si>
  <si>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</si>
  <si>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</si>
  <si>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</si>
  <si>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</si>
  <si>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</si>
  <si>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Category</t>
  </si>
  <si>
    <t>Central</t>
  </si>
  <si>
    <t>Clothing</t>
  </si>
  <si>
    <t>South</t>
  </si>
  <si>
    <t>Electronics</t>
  </si>
  <si>
    <t>North</t>
  </si>
  <si>
    <t>Furniture</t>
  </si>
  <si>
    <t>East</t>
  </si>
  <si>
    <t>Office Supplies</t>
  </si>
  <si>
    <t>Key Insights</t>
  </si>
  <si>
    <t>• Highest region by sales: West (44,083.58).</t>
  </si>
  <si>
    <t>• Highest product category: Books (47,002.46).</t>
  </si>
  <si>
    <t>• Top customer ID by total purchase: CUST015 (11,611.06).</t>
  </si>
  <si>
    <t>• Best monthly sales: 2024-09 (20,533.50).</t>
  </si>
  <si>
    <t>• Lowest monthly sales: 2025-04 (3,212.17).</t>
  </si>
  <si>
    <t>• Sales-profit regression R²: 0.598.</t>
  </si>
  <si>
    <t>PR. 2 Analyzer - Completed Workbook</t>
  </si>
  <si>
    <t>1. Conditional Formatting – Top 10 customers based on total purchase.</t>
  </si>
  <si>
    <t>2. WHAT IF Analysis – Compare total profit at different discount rates.</t>
  </si>
  <si>
    <t>3. Linear Regression – Profit vs Sales (equivalent to Excel Data Analysis ToolPak output).</t>
  </si>
  <si>
    <t>4. Descriptive Statistics – Sales, Quantity, Discount and Profit.</t>
  </si>
  <si>
    <t>5. Monthly Sales Growth – Up/down symbols are added using conditional formatting.</t>
  </si>
  <si>
    <t>6. Timestamp – NOW() is added to the dataset.</t>
  </si>
  <si>
    <t>7. High-Value Customers – INDEX/MATCH lookup plus filtered Top 10 customer table.</t>
  </si>
  <si>
    <t>8. Pivot-style analysis – Total sales by Region and Product Category.</t>
  </si>
  <si>
    <t>9. Charts – Bar, Line and Pie charts for KPIs.</t>
  </si>
  <si>
    <t>10. Dashboard – KPI summary and visual insights.</t>
  </si>
  <si>
    <t>Customer_ID</t>
  </si>
  <si>
    <t>Customer_Name</t>
  </si>
  <si>
    <t>Region</t>
  </si>
  <si>
    <t>Product_Category</t>
  </si>
  <si>
    <t>Quantity</t>
  </si>
  <si>
    <t>Discount</t>
  </si>
  <si>
    <t>Order_Date</t>
  </si>
  <si>
    <t>Timestamp</t>
  </si>
  <si>
    <t>CUST019</t>
  </si>
  <si>
    <t>James Davis</t>
  </si>
  <si>
    <t>CUST012</t>
  </si>
  <si>
    <t>Robert Anderson</t>
  </si>
  <si>
    <t>CUST017</t>
  </si>
  <si>
    <t>James Taylor</t>
  </si>
  <si>
    <t>CUST005</t>
  </si>
  <si>
    <t>CUST030</t>
  </si>
  <si>
    <t>James Wilson</t>
  </si>
  <si>
    <t>CUST007</t>
  </si>
  <si>
    <t>Michael Anderson</t>
  </si>
  <si>
    <t>CUST001</t>
  </si>
  <si>
    <t>Linda Wilson</t>
  </si>
  <si>
    <t>CUST026</t>
  </si>
  <si>
    <t>Mary Davis</t>
  </si>
  <si>
    <t>CUST009</t>
  </si>
  <si>
    <t>Linda Jackson</t>
  </si>
  <si>
    <t>CUST010</t>
  </si>
  <si>
    <t>David Thomas</t>
  </si>
  <si>
    <t>CUST014</t>
  </si>
  <si>
    <t>Emma Davis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</si>
  <si>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</si>
  <si>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</si>
  <si>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</si>
  <si>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</si>
  <si>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</si>
  <si>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</si>
  <si>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</si>
  <si>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</si>
  <si>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</si>
  <si>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</si>
  <si>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</si>
  <si>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</si>
  <si>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</si>
  <si>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</si>
  <si>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</si>
  <si>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</si>
  <si>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</si>
  <si>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</si>
  <si>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</si>
  <si>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</si>
  <si>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</si>
  <si>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</si>
  <si>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</si>
  <si>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</si>
  <si>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</si>
  <si>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</si>
  <si>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</si>
  <si>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</si>
  <si>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</si>
  <si>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</si>
  <si>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</si>
  <si>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</si>
  <si>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</si>
  <si>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</si>
  <si>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</si>
  <si>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</si>
  <si>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Customer Purchase Summary - Top 10 Highlighted</t>
  </si>
  <si>
    <t>Top 10 customers are highlighted in the Total Purchase column.</t>
  </si>
  <si>
    <t>Total Purchase</t>
  </si>
  <si>
    <t>Orders</t>
  </si>
  <si>
    <t>Rank</t>
  </si>
  <si>
    <t>WHAT IF Analysis - Discount vs Total Profit</t>
  </si>
  <si>
    <t>Discount Rate</t>
  </si>
  <si>
    <t>Projected Profit</t>
  </si>
  <si>
    <t>Change vs Current</t>
  </si>
  <si>
    <t>Profit Margin</t>
  </si>
  <si>
    <t>Comment</t>
  </si>
  <si>
    <t>Note</t>
  </si>
  <si>
    <t>Higher profit</t>
  </si>
  <si>
    <t>Dataset profit follows Sales × (1 − Discount) × 40%, so the WHAT IF table recalculates profit under alternative discounts.</t>
  </si>
  <si>
    <t>Current 10% scenario</t>
  </si>
  <si>
    <t>Baseline</t>
  </si>
  <si>
    <t>Lower profit</t>
  </si>
  <si>
    <t>Linear Regression - Profit vs Sales</t>
  </si>
  <si>
    <t>Measure</t>
  </si>
  <si>
    <t>Value</t>
  </si>
  <si>
    <t>Regression Data</t>
  </si>
  <si>
    <t>Observations</t>
  </si>
  <si>
    <t>Data</t>
  </si>
  <si>
    <t>Slope</t>
  </si>
  <si>
    <t>Intercept</t>
  </si>
  <si>
    <t>R Square</t>
  </si>
  <si>
    <t>Correlation</t>
  </si>
  <si>
    <t>Standard Error (Y)</t>
  </si>
  <si>
    <t>Standard Error (Slope)</t>
  </si>
  <si>
    <t>t Statistic</t>
  </si>
  <si>
    <t>Interpretation</t>
  </si>
  <si>
    <t>R² = 0.598, meaning sales explain about 59.8% of the variation in profit in this dataset.</t>
  </si>
  <si>
    <t>Descriptive Statistics</t>
  </si>
  <si>
    <t>Variable</t>
  </si>
  <si>
    <t>Count</t>
  </si>
  <si>
    <t>Mean</t>
  </si>
  <si>
    <t>Std Dev</t>
  </si>
  <si>
    <t>Min</t>
  </si>
  <si>
    <t>Max</t>
  </si>
  <si>
    <t>Median</t>
  </si>
  <si>
    <t>Range</t>
  </si>
  <si>
    <t>Total</t>
  </si>
  <si>
    <t>Sales Histogram - Frequency Distribution</t>
  </si>
  <si>
    <t>Bin Start</t>
  </si>
  <si>
    <t>Bin End</t>
  </si>
  <si>
    <t>Frequency</t>
  </si>
  <si>
    <t>Monthly Sales, Profit and Growth</t>
  </si>
  <si>
    <t>Growth</t>
  </si>
  <si>
    <t>Trend</t>
  </si>
  <si>
    <t>—</t>
  </si>
  <si>
    <t>High-Value Customers - INDEX/MATCH + Filter</t>
  </si>
  <si>
    <t>Status</t>
  </si>
  <si>
    <t>High Value</t>
  </si>
  <si>
    <t>INDEX/MATCH Lookup</t>
  </si>
  <si>
    <t>Enter Customer ID</t>
  </si>
  <si>
    <t>Customer Name</t>
  </si>
  <si>
    <t>Pivot-Style Analysis - Total Sales by Region and Product</t>
  </si>
  <si>
    <t>Grand Total</t>
  </si>
  <si>
    <t>Product Category</t>
  </si>
  <si>
    <t>Share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</si>
</sst>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-mmm\-yyyy"/>
    <numFmt numFmtId="166" formatCode="dd\-mmm\-yyyy\ hh:mm:ss"/>
    <numFmt numFmtId="167" formatCode="#,##0.0000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i/>
      <sz val="11"/>
      <color rgb="FF1F1F1F"/>
      <name val="Calibri"/>
    </font>
    <font>
      <b/>
      <sz val="11"/>
      <name val="Calibri"/>
    </font>
    <font>
      <b/>
      <sz val="12"/>
      <color rgb="FFFFFFFF"/>
      <name val="Calibri"/>
    </font>
    <font>
      <b/>
      <sz val="14"/>
      <color rgb="FF1F1F1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D9EAF7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horizontal="center"/>
    </xf>
    <xf numFmtId="4" fontId="0" fillId="0" borderId="0" xfId="0" applyNumberFormat="1"/>
    <xf numFmtId="0" fontId="5" fillId="4" borderId="0" xfId="0" applyFont="1" applyFill="1"/>
    <xf numFmtId="0" fontId="0" fillId="0" borderId="0" xfId="0" applyAlignment="1">
      <alignment vertical="top" wrapText="1"/>
    </xf>
    <xf numFmtId="0" fontId="0" fillId="0" borderId="1" xfId="0" applyBorder="1"/>
    <xf numFmtId="4" fontId="0" fillId="0" borderId="1" xfId="0" applyNumberFormat="1" applyBorder="1"/>
    <xf numFmtId="9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3" fillId="0" borderId="0" xfId="0" applyFont="1"/>
    <xf numFmtId="10" fontId="0" fillId="0" borderId="1" xfId="0" applyNumberFormat="1" applyBorder="1"/>
    <xf numFmtId="9" fontId="4" fillId="0" borderId="1" xfId="0" applyNumberFormat="1" applyFont="1" applyBorder="1"/>
    <xf numFmtId="167" fontId="0" fillId="0" borderId="1" xfId="0" applyNumberFormat="1" applyBorder="1"/>
    <xf numFmtId="0" fontId="0" fillId="5" borderId="1" xfId="0" applyFill="1" applyBorder="1"/>
    <xf numFmtId="4" fontId="4" fillId="5" borderId="1" xfId="0" applyNumberFormat="1" applyFont="1" applyFill="1" applyBorder="1"/>
    <xf numFmtId="0" fontId="0" fillId="0" borderId="0" xfId="0" applyAlignment="1">
      <alignment wrapText="1"/>
    </xf>
    <xf numFmtId="0" fontId="0" fillId="0" borderId="0" xfId="0"/>
    <xf numFmtId="4" fontId="6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1" fontId="6" fillId="6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Dashboard!$B$8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Dashboard!$A$9:$A$21</c:f>
              <c:strCache>
                <c:ptCount val="13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</c:strCache>
            </c:strRef>
          </c:cat>
          <c:val>
            <c:numRef>
              <c:f>Dashboard!$B$9:$B$21</c:f>
              <c:numCache>
                <c:formatCode>#,##0.00</c:formatCode>
                <c:ptCount val="13"/>
                <c:pt idx="0">
                  <c:v>19029.96</c:v>
                </c:pt>
                <c:pt idx="1">
                  <c:v>18507.34</c:v>
                </c:pt>
                <c:pt idx="2">
                  <c:v>20187.509999999998</c:v>
                </c:pt>
                <c:pt idx="3">
                  <c:v>11609.04</c:v>
                </c:pt>
                <c:pt idx="4">
                  <c:v>10091.700000000001</c:v>
                </c:pt>
                <c:pt idx="5">
                  <c:v>20533.5</c:v>
                </c:pt>
                <c:pt idx="6">
                  <c:v>14215.24</c:v>
                </c:pt>
                <c:pt idx="7">
                  <c:v>20135.03</c:v>
                </c:pt>
                <c:pt idx="8">
                  <c:v>11120.04</c:v>
                </c:pt>
                <c:pt idx="9">
                  <c:v>14914.65</c:v>
                </c:pt>
                <c:pt idx="10">
                  <c:v>14006.36</c:v>
                </c:pt>
                <c:pt idx="11">
                  <c:v>17655.22</c:v>
                </c:pt>
                <c:pt idx="12">
                  <c:v>3212.17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16E-4FF3-B00E-88C35E0C2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Dashboard!$B$24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Dashboard!$A$25:$A$29</c:f>
              <c:strCache>
                <c:ptCount val="5"/>
                <c:pt idx="0">
                  <c:v>West</c:v>
                </c:pt>
                <c:pt idx="1">
                  <c:v>Central</c:v>
                </c:pt>
                <c:pt idx="2">
                  <c:v>South</c:v>
                </c:pt>
                <c:pt idx="3">
                  <c:v>North</c:v>
                </c:pt>
                <c:pt idx="4">
                  <c:v>East</c:v>
                </c:pt>
              </c:strCache>
            </c:strRef>
          </c:cat>
          <c:val>
            <c:numRef>
              <c:f>Dashboard!$B$25:$B$29</c:f>
              <c:numCache>
                <c:formatCode>#,##0.00</c:formatCode>
                <c:ptCount val="5"/>
                <c:pt idx="0">
                  <c:v>44083.58</c:v>
                </c:pt>
                <c:pt idx="1">
                  <c:v>43468.33</c:v>
                </c:pt>
                <c:pt idx="2">
                  <c:v>40248.79</c:v>
                </c:pt>
                <c:pt idx="3">
                  <c:v>34975.42</c:v>
                </c:pt>
                <c:pt idx="4">
                  <c:v>32441.64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20-4B52-B977-C9D399427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Product Category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Dashboard!$F$24</c:f>
              <c:strCache>
                <c:ptCount val="1"/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Dashboard!$E$25:$E$29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Dashboard!$F$25:$F$29</c:f>
              <c:numCache>
                <c:formatCode>#,##0.00</c:formatCode>
                <c:ptCount val="5"/>
                <c:pt idx="0">
                  <c:v>47002.46</c:v>
                </c:pt>
                <c:pt idx="1">
                  <c:v>41927.589999999997</c:v>
                </c:pt>
                <c:pt idx="2">
                  <c:v>41044</c:v>
                </c:pt>
                <c:pt idx="3">
                  <c:v>36612.89</c:v>
                </c:pt>
                <c:pt idx="4">
                  <c:v>28630.82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4-4D5C-B1B3-36E9225A3EE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Profit vs Sales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Observed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Regression!$E$4:$E$203</c:f>
              <c:numCache>
                <c:formatCode>#,##0.00</c:formatCode>
                <c:ptCount val="200"/>
                <c:pt idx="0">
                  <c:v>1036.0899999999999</c:v>
                </c:pt>
                <c:pt idx="1">
                  <c:v>1101.28</c:v>
                </c:pt>
                <c:pt idx="2">
                  <c:v>713.34</c:v>
                </c:pt>
                <c:pt idx="3">
                  <c:v>760.93</c:v>
                </c:pt>
                <c:pt idx="4">
                  <c:v>847</c:v>
                </c:pt>
                <c:pt idx="5">
                  <c:v>965.64</c:v>
                </c:pt>
                <c:pt idx="6">
                  <c:v>1317.53</c:v>
                </c:pt>
                <c:pt idx="7">
                  <c:v>1074.47</c:v>
                </c:pt>
                <c:pt idx="8">
                  <c:v>501.54</c:v>
                </c:pt>
                <c:pt idx="9">
                  <c:v>737.31</c:v>
                </c:pt>
                <c:pt idx="10">
                  <c:v>1572.82</c:v>
                </c:pt>
                <c:pt idx="13">
                  <c:v>822.28</c:v>
                </c:pt>
                <c:pt idx="14">
                  <c:v>521.66999999999996</c:v>
                </c:pt>
                <c:pt idx="15">
                  <c:v>1502.93</c:v>
                </c:pt>
                <c:pt idx="16">
                  <c:v>877.58</c:v>
                </c:pt>
                <c:pt idx="17">
                  <c:v>636.70000000000005</c:v>
                </c:pt>
                <c:pt idx="18">
                  <c:v>1506.14</c:v>
                </c:pt>
                <c:pt idx="19">
                  <c:v>645.02</c:v>
                </c:pt>
                <c:pt idx="20">
                  <c:v>953.3</c:v>
                </c:pt>
                <c:pt idx="21">
                  <c:v>388.56</c:v>
                </c:pt>
                <c:pt idx="22">
                  <c:v>743.17</c:v>
                </c:pt>
                <c:pt idx="23">
                  <c:v>706.37</c:v>
                </c:pt>
                <c:pt idx="24">
                  <c:v>925.31</c:v>
                </c:pt>
                <c:pt idx="25">
                  <c:v>1173.1199999999999</c:v>
                </c:pt>
                <c:pt idx="26">
                  <c:v>675.54</c:v>
                </c:pt>
                <c:pt idx="27">
                  <c:v>939.09</c:v>
                </c:pt>
                <c:pt idx="28">
                  <c:v>983.34</c:v>
                </c:pt>
                <c:pt idx="29">
                  <c:v>801.21</c:v>
                </c:pt>
                <c:pt idx="30">
                  <c:v>1450.71</c:v>
                </c:pt>
                <c:pt idx="31">
                  <c:v>1023.21</c:v>
                </c:pt>
                <c:pt idx="32">
                  <c:v>853.72</c:v>
                </c:pt>
                <c:pt idx="33">
                  <c:v>967.89</c:v>
                </c:pt>
                <c:pt idx="34">
                  <c:v>1200.9000000000001</c:v>
                </c:pt>
                <c:pt idx="35">
                  <c:v>472.38</c:v>
                </c:pt>
                <c:pt idx="36">
                  <c:v>840.92</c:v>
                </c:pt>
                <c:pt idx="37">
                  <c:v>1410.06</c:v>
                </c:pt>
                <c:pt idx="38">
                  <c:v>773.09</c:v>
                </c:pt>
                <c:pt idx="39">
                  <c:v>580.42999999999995</c:v>
                </c:pt>
                <c:pt idx="40">
                  <c:v>1151.21</c:v>
                </c:pt>
                <c:pt idx="41">
                  <c:v>1025.98</c:v>
                </c:pt>
                <c:pt idx="42">
                  <c:v>556.41999999999996</c:v>
                </c:pt>
                <c:pt idx="43">
                  <c:v>840.85</c:v>
                </c:pt>
                <c:pt idx="44">
                  <c:v>1227.25</c:v>
                </c:pt>
                <c:pt idx="45">
                  <c:v>856.7</c:v>
                </c:pt>
                <c:pt idx="46">
                  <c:v>1225.42</c:v>
                </c:pt>
                <c:pt idx="47">
                  <c:v>1001.57</c:v>
                </c:pt>
                <c:pt idx="48">
                  <c:v>1186.8499999999999</c:v>
                </c:pt>
                <c:pt idx="49">
                  <c:v>775.45</c:v>
                </c:pt>
                <c:pt idx="50">
                  <c:v>1021.47</c:v>
                </c:pt>
                <c:pt idx="51">
                  <c:v>1226.6199999999999</c:v>
                </c:pt>
                <c:pt idx="52">
                  <c:v>1086.93</c:v>
                </c:pt>
                <c:pt idx="53">
                  <c:v>942.9</c:v>
                </c:pt>
                <c:pt idx="54">
                  <c:v>818.8</c:v>
                </c:pt>
                <c:pt idx="55">
                  <c:v>919.04</c:v>
                </c:pt>
                <c:pt idx="56">
                  <c:v>973.26</c:v>
                </c:pt>
                <c:pt idx="57">
                  <c:v>741.61</c:v>
                </c:pt>
                <c:pt idx="58">
                  <c:v>1248.82</c:v>
                </c:pt>
                <c:pt idx="59">
                  <c:v>1360.36</c:v>
                </c:pt>
                <c:pt idx="60">
                  <c:v>1383.3</c:v>
                </c:pt>
                <c:pt idx="61">
                  <c:v>488.99</c:v>
                </c:pt>
                <c:pt idx="62">
                  <c:v>933.71</c:v>
                </c:pt>
                <c:pt idx="63">
                  <c:v>1005.53</c:v>
                </c:pt>
                <c:pt idx="64">
                  <c:v>1100.0999999999999</c:v>
                </c:pt>
                <c:pt idx="65">
                  <c:v>1034.7</c:v>
                </c:pt>
                <c:pt idx="66">
                  <c:v>876.44</c:v>
                </c:pt>
                <c:pt idx="67">
                  <c:v>1371.34</c:v>
                </c:pt>
                <c:pt idx="68">
                  <c:v>1020.26</c:v>
                </c:pt>
                <c:pt idx="69">
                  <c:v>804.81</c:v>
                </c:pt>
                <c:pt idx="70">
                  <c:v>608.66</c:v>
                </c:pt>
                <c:pt idx="71">
                  <c:v>981.2</c:v>
                </c:pt>
                <c:pt idx="72">
                  <c:v>539.77</c:v>
                </c:pt>
                <c:pt idx="73">
                  <c:v>804.45</c:v>
                </c:pt>
                <c:pt idx="74">
                  <c:v>1526.6</c:v>
                </c:pt>
                <c:pt idx="75">
                  <c:v>1215.26</c:v>
                </c:pt>
                <c:pt idx="76">
                  <c:v>1261.3399999999999</c:v>
                </c:pt>
                <c:pt idx="77">
                  <c:v>518.07000000000005</c:v>
                </c:pt>
                <c:pt idx="78">
                  <c:v>1111.3399999999999</c:v>
                </c:pt>
                <c:pt idx="79">
                  <c:v>1291.47</c:v>
                </c:pt>
                <c:pt idx="80">
                  <c:v>679.71</c:v>
                </c:pt>
                <c:pt idx="81">
                  <c:v>1143.69</c:v>
                </c:pt>
                <c:pt idx="82">
                  <c:v>790.08</c:v>
                </c:pt>
                <c:pt idx="83">
                  <c:v>1070.68</c:v>
                </c:pt>
                <c:pt idx="84">
                  <c:v>1168.8900000000001</c:v>
                </c:pt>
                <c:pt idx="85">
                  <c:v>1335.87</c:v>
                </c:pt>
                <c:pt idx="86">
                  <c:v>873.7</c:v>
                </c:pt>
                <c:pt idx="87">
                  <c:v>1443.98</c:v>
                </c:pt>
                <c:pt idx="88">
                  <c:v>1154.33</c:v>
                </c:pt>
                <c:pt idx="89">
                  <c:v>1264.49</c:v>
                </c:pt>
                <c:pt idx="90">
                  <c:v>1101.55</c:v>
                </c:pt>
                <c:pt idx="91">
                  <c:v>727.73</c:v>
                </c:pt>
                <c:pt idx="92">
                  <c:v>875.41</c:v>
                </c:pt>
                <c:pt idx="93">
                  <c:v>1158.94</c:v>
                </c:pt>
                <c:pt idx="94">
                  <c:v>966.3</c:v>
                </c:pt>
                <c:pt idx="95">
                  <c:v>917.48</c:v>
                </c:pt>
                <c:pt idx="96">
                  <c:v>1172.97</c:v>
                </c:pt>
                <c:pt idx="97">
                  <c:v>1205.82</c:v>
                </c:pt>
                <c:pt idx="98">
                  <c:v>826.93</c:v>
                </c:pt>
                <c:pt idx="99">
                  <c:v>902.19</c:v>
                </c:pt>
                <c:pt idx="100">
                  <c:v>585.97</c:v>
                </c:pt>
                <c:pt idx="101">
                  <c:v>990.19</c:v>
                </c:pt>
                <c:pt idx="102">
                  <c:v>1014.09</c:v>
                </c:pt>
                <c:pt idx="103">
                  <c:v>925.29</c:v>
                </c:pt>
                <c:pt idx="104">
                  <c:v>1286.54</c:v>
                </c:pt>
                <c:pt idx="105">
                  <c:v>961.62</c:v>
                </c:pt>
                <c:pt idx="106">
                  <c:v>1081.1400000000001</c:v>
                </c:pt>
                <c:pt idx="107">
                  <c:v>1923.66</c:v>
                </c:pt>
                <c:pt idx="108">
                  <c:v>728.71</c:v>
                </c:pt>
                <c:pt idx="109">
                  <c:v>1301.8900000000001</c:v>
                </c:pt>
                <c:pt idx="110">
                  <c:v>980.18</c:v>
                </c:pt>
                <c:pt idx="111">
                  <c:v>697.57</c:v>
                </c:pt>
                <c:pt idx="112">
                  <c:v>1193.6099999999999</c:v>
                </c:pt>
                <c:pt idx="113">
                  <c:v>771.02</c:v>
                </c:pt>
                <c:pt idx="114">
                  <c:v>661.09</c:v>
                </c:pt>
                <c:pt idx="115">
                  <c:v>688.83</c:v>
                </c:pt>
                <c:pt idx="116">
                  <c:v>1249.0999999999999</c:v>
                </c:pt>
                <c:pt idx="117">
                  <c:v>1014.22</c:v>
                </c:pt>
                <c:pt idx="118">
                  <c:v>1010.58</c:v>
                </c:pt>
                <c:pt idx="119">
                  <c:v>957.29</c:v>
                </c:pt>
                <c:pt idx="120">
                  <c:v>1077.92</c:v>
                </c:pt>
                <c:pt idx="121">
                  <c:v>1163.01</c:v>
                </c:pt>
                <c:pt idx="122">
                  <c:v>1014.56</c:v>
                </c:pt>
                <c:pt idx="123">
                  <c:v>718.04</c:v>
                </c:pt>
                <c:pt idx="124">
                  <c:v>1277.8499999999999</c:v>
                </c:pt>
                <c:pt idx="125">
                  <c:v>706.73</c:v>
                </c:pt>
                <c:pt idx="126">
                  <c:v>1410.59</c:v>
                </c:pt>
                <c:pt idx="127">
                  <c:v>1350.33</c:v>
                </c:pt>
                <c:pt idx="128">
                  <c:v>919.18</c:v>
                </c:pt>
                <c:pt idx="129">
                  <c:v>258.51</c:v>
                </c:pt>
                <c:pt idx="130">
                  <c:v>1213.48</c:v>
                </c:pt>
                <c:pt idx="131">
                  <c:v>1150.28</c:v>
                </c:pt>
                <c:pt idx="132">
                  <c:v>853.86</c:v>
                </c:pt>
                <c:pt idx="133">
                  <c:v>1061.04</c:v>
                </c:pt>
                <c:pt idx="134">
                  <c:v>894.55</c:v>
                </c:pt>
                <c:pt idx="135">
                  <c:v>833.91</c:v>
                </c:pt>
                <c:pt idx="136">
                  <c:v>820.19</c:v>
                </c:pt>
                <c:pt idx="137">
                  <c:v>511.74</c:v>
                </c:pt>
                <c:pt idx="138">
                  <c:v>806.03</c:v>
                </c:pt>
                <c:pt idx="139">
                  <c:v>1432.47</c:v>
                </c:pt>
                <c:pt idx="140">
                  <c:v>1488.58</c:v>
                </c:pt>
                <c:pt idx="141">
                  <c:v>1231.26</c:v>
                </c:pt>
                <c:pt idx="142">
                  <c:v>1161.67</c:v>
                </c:pt>
                <c:pt idx="143">
                  <c:v>388.23</c:v>
                </c:pt>
                <c:pt idx="144">
                  <c:v>1589.42</c:v>
                </c:pt>
                <c:pt idx="145">
                  <c:v>336.66</c:v>
                </c:pt>
                <c:pt idx="146">
                  <c:v>1353.79</c:v>
                </c:pt>
                <c:pt idx="147">
                  <c:v>662.61</c:v>
                </c:pt>
                <c:pt idx="148">
                  <c:v>309.42</c:v>
                </c:pt>
                <c:pt idx="149">
                  <c:v>884.63</c:v>
                </c:pt>
                <c:pt idx="150">
                  <c:v>745.05</c:v>
                </c:pt>
                <c:pt idx="151">
                  <c:v>870.23</c:v>
                </c:pt>
                <c:pt idx="152">
                  <c:v>862.19</c:v>
                </c:pt>
                <c:pt idx="153">
                  <c:v>1171.18</c:v>
                </c:pt>
                <c:pt idx="154">
                  <c:v>1054.56</c:v>
                </c:pt>
                <c:pt idx="155">
                  <c:v>1681.21</c:v>
                </c:pt>
                <c:pt idx="156">
                  <c:v>379.77</c:v>
                </c:pt>
                <c:pt idx="157">
                  <c:v>1076.33</c:v>
                </c:pt>
                <c:pt idx="158">
                  <c:v>1250.71</c:v>
                </c:pt>
                <c:pt idx="159">
                  <c:v>1118.3399999999999</c:v>
                </c:pt>
                <c:pt idx="160">
                  <c:v>1622.62</c:v>
                </c:pt>
                <c:pt idx="161">
                  <c:v>640.64</c:v>
                </c:pt>
                <c:pt idx="162">
                  <c:v>585.16</c:v>
                </c:pt>
                <c:pt idx="163">
                  <c:v>1109.98</c:v>
                </c:pt>
                <c:pt idx="164">
                  <c:v>1098.08</c:v>
                </c:pt>
                <c:pt idx="165">
                  <c:v>827.25</c:v>
                </c:pt>
                <c:pt idx="166">
                  <c:v>741.88</c:v>
                </c:pt>
                <c:pt idx="167">
                  <c:v>1311.26</c:v>
                </c:pt>
                <c:pt idx="168">
                  <c:v>573.32000000000005</c:v>
                </c:pt>
                <c:pt idx="169">
                  <c:v>1115.22</c:v>
                </c:pt>
                <c:pt idx="170">
                  <c:v>845.84</c:v>
                </c:pt>
                <c:pt idx="171">
                  <c:v>1029.8</c:v>
                </c:pt>
                <c:pt idx="172">
                  <c:v>1189.83</c:v>
                </c:pt>
                <c:pt idx="173">
                  <c:v>704.28</c:v>
                </c:pt>
                <c:pt idx="174">
                  <c:v>1618.22</c:v>
                </c:pt>
                <c:pt idx="175">
                  <c:v>1014.43</c:v>
                </c:pt>
                <c:pt idx="176">
                  <c:v>826.97</c:v>
                </c:pt>
                <c:pt idx="177">
                  <c:v>1022.23</c:v>
                </c:pt>
                <c:pt idx="178">
                  <c:v>1099.69</c:v>
                </c:pt>
                <c:pt idx="179">
                  <c:v>710.52</c:v>
                </c:pt>
                <c:pt idx="180">
                  <c:v>499.18</c:v>
                </c:pt>
                <c:pt idx="181">
                  <c:v>1064.19</c:v>
                </c:pt>
                <c:pt idx="182">
                  <c:v>438.76</c:v>
                </c:pt>
                <c:pt idx="183">
                  <c:v>864.98</c:v>
                </c:pt>
                <c:pt idx="184">
                  <c:v>984.93</c:v>
                </c:pt>
                <c:pt idx="185">
                  <c:v>1493.49</c:v>
                </c:pt>
                <c:pt idx="186">
                  <c:v>689.43</c:v>
                </c:pt>
                <c:pt idx="187">
                  <c:v>682.24</c:v>
                </c:pt>
                <c:pt idx="188">
                  <c:v>458.54</c:v>
                </c:pt>
                <c:pt idx="189">
                  <c:v>1184.25</c:v>
                </c:pt>
                <c:pt idx="190">
                  <c:v>762.14</c:v>
                </c:pt>
                <c:pt idx="191">
                  <c:v>750.71</c:v>
                </c:pt>
                <c:pt idx="192">
                  <c:v>1456.94</c:v>
                </c:pt>
                <c:pt idx="193">
                  <c:v>1093.3800000000001</c:v>
                </c:pt>
                <c:pt idx="194">
                  <c:v>934.27</c:v>
                </c:pt>
                <c:pt idx="195">
                  <c:v>1465.35</c:v>
                </c:pt>
                <c:pt idx="196">
                  <c:v>740.8</c:v>
                </c:pt>
                <c:pt idx="197">
                  <c:v>545.44000000000005</c:v>
                </c:pt>
                <c:pt idx="198">
                  <c:v>997.61</c:v>
                </c:pt>
                <c:pt idx="199">
                  <c:v>928.32</c:v>
                </c:pt>
              </c:numCache>
            </c:numRef>
          </c:xVal>
          <c:yVal>
            <c:numRef>
              <c:f>Regression!$F$4:$F$203</c:f>
              <c:numCache>
                <c:formatCode>#,##0.00</c:formatCode>
                <c:ptCount val="200"/>
                <c:pt idx="0">
                  <c:v>331.55</c:v>
                </c:pt>
                <c:pt idx="1">
                  <c:v>440.51</c:v>
                </c:pt>
                <c:pt idx="2">
                  <c:v>285.33999999999997</c:v>
                </c:pt>
                <c:pt idx="3">
                  <c:v>161.69999999999999</c:v>
                </c:pt>
                <c:pt idx="4">
                  <c:v>271.04000000000002</c:v>
                </c:pt>
                <c:pt idx="5">
                  <c:v>304.18</c:v>
                </c:pt>
                <c:pt idx="6">
                  <c:v>312.91000000000003</c:v>
                </c:pt>
                <c:pt idx="7">
                  <c:v>300.85000000000002</c:v>
                </c:pt>
                <c:pt idx="8">
                  <c:v>190.59</c:v>
                </c:pt>
                <c:pt idx="9">
                  <c:v>350.22</c:v>
                </c:pt>
                <c:pt idx="10">
                  <c:v>672.38</c:v>
                </c:pt>
                <c:pt idx="13">
                  <c:v>273.41000000000003</c:v>
                </c:pt>
                <c:pt idx="14">
                  <c:v>155.19999999999999</c:v>
                </c:pt>
                <c:pt idx="15">
                  <c:v>300.58999999999997</c:v>
                </c:pt>
                <c:pt idx="16">
                  <c:v>298.38</c:v>
                </c:pt>
                <c:pt idx="17">
                  <c:v>203.74</c:v>
                </c:pt>
                <c:pt idx="18">
                  <c:v>481.96</c:v>
                </c:pt>
                <c:pt idx="19">
                  <c:v>161.26</c:v>
                </c:pt>
                <c:pt idx="20">
                  <c:v>476.65</c:v>
                </c:pt>
                <c:pt idx="21">
                  <c:v>82.57</c:v>
                </c:pt>
                <c:pt idx="22">
                  <c:v>297.27</c:v>
                </c:pt>
                <c:pt idx="23">
                  <c:v>176.59</c:v>
                </c:pt>
                <c:pt idx="24">
                  <c:v>374.75</c:v>
                </c:pt>
                <c:pt idx="25">
                  <c:v>293.27999999999997</c:v>
                </c:pt>
                <c:pt idx="26">
                  <c:v>236.44</c:v>
                </c:pt>
                <c:pt idx="27">
                  <c:v>356.85</c:v>
                </c:pt>
                <c:pt idx="28">
                  <c:v>398.25</c:v>
                </c:pt>
                <c:pt idx="29">
                  <c:v>160.24</c:v>
                </c:pt>
                <c:pt idx="30">
                  <c:v>326.41000000000003</c:v>
                </c:pt>
                <c:pt idx="31">
                  <c:v>388.82</c:v>
                </c:pt>
                <c:pt idx="32">
                  <c:v>253.98</c:v>
                </c:pt>
                <c:pt idx="33">
                  <c:v>217.78</c:v>
                </c:pt>
                <c:pt idx="34">
                  <c:v>513.38</c:v>
                </c:pt>
                <c:pt idx="35">
                  <c:v>151.16</c:v>
                </c:pt>
                <c:pt idx="36">
                  <c:v>359.49</c:v>
                </c:pt>
                <c:pt idx="37">
                  <c:v>468.84</c:v>
                </c:pt>
                <c:pt idx="38">
                  <c:v>229.99</c:v>
                </c:pt>
                <c:pt idx="39">
                  <c:v>197.35</c:v>
                </c:pt>
                <c:pt idx="40">
                  <c:v>414.44</c:v>
                </c:pt>
                <c:pt idx="41">
                  <c:v>369.35</c:v>
                </c:pt>
                <c:pt idx="42">
                  <c:v>212.83</c:v>
                </c:pt>
                <c:pt idx="43">
                  <c:v>302.70999999999998</c:v>
                </c:pt>
                <c:pt idx="44">
                  <c:v>365.11</c:v>
                </c:pt>
                <c:pt idx="45">
                  <c:v>214.18</c:v>
                </c:pt>
                <c:pt idx="46">
                  <c:v>468.72</c:v>
                </c:pt>
                <c:pt idx="47">
                  <c:v>450.71</c:v>
                </c:pt>
                <c:pt idx="48">
                  <c:v>332.32</c:v>
                </c:pt>
                <c:pt idx="49">
                  <c:v>174.48</c:v>
                </c:pt>
                <c:pt idx="50">
                  <c:v>242.6</c:v>
                </c:pt>
                <c:pt idx="51">
                  <c:v>551.98</c:v>
                </c:pt>
                <c:pt idx="52">
                  <c:v>380.43</c:v>
                </c:pt>
                <c:pt idx="53">
                  <c:v>339.44</c:v>
                </c:pt>
                <c:pt idx="54">
                  <c:v>173.99</c:v>
                </c:pt>
                <c:pt idx="55">
                  <c:v>257.33</c:v>
                </c:pt>
                <c:pt idx="56">
                  <c:v>389.3</c:v>
                </c:pt>
                <c:pt idx="57">
                  <c:v>148.32</c:v>
                </c:pt>
                <c:pt idx="58">
                  <c:v>449.58</c:v>
                </c:pt>
                <c:pt idx="59">
                  <c:v>680.18</c:v>
                </c:pt>
                <c:pt idx="60">
                  <c:v>497.99</c:v>
                </c:pt>
                <c:pt idx="61">
                  <c:v>220.05</c:v>
                </c:pt>
                <c:pt idx="62">
                  <c:v>294.12</c:v>
                </c:pt>
                <c:pt idx="63">
                  <c:v>201.11</c:v>
                </c:pt>
                <c:pt idx="64">
                  <c:v>261.27</c:v>
                </c:pt>
                <c:pt idx="65">
                  <c:v>307.82</c:v>
                </c:pt>
                <c:pt idx="66">
                  <c:v>333.05</c:v>
                </c:pt>
                <c:pt idx="67">
                  <c:v>455.97</c:v>
                </c:pt>
                <c:pt idx="68">
                  <c:v>242.31</c:v>
                </c:pt>
                <c:pt idx="69">
                  <c:v>344.06</c:v>
                </c:pt>
                <c:pt idx="70">
                  <c:v>144.56</c:v>
                </c:pt>
                <c:pt idx="71">
                  <c:v>441.54</c:v>
                </c:pt>
                <c:pt idx="72">
                  <c:v>114.7</c:v>
                </c:pt>
                <c:pt idx="73">
                  <c:v>257.42</c:v>
                </c:pt>
                <c:pt idx="74">
                  <c:v>305.32</c:v>
                </c:pt>
                <c:pt idx="75">
                  <c:v>258.24</c:v>
                </c:pt>
                <c:pt idx="76">
                  <c:v>441.47</c:v>
                </c:pt>
                <c:pt idx="77">
                  <c:v>172.26</c:v>
                </c:pt>
                <c:pt idx="78">
                  <c:v>500.1</c:v>
                </c:pt>
                <c:pt idx="79">
                  <c:v>581.16</c:v>
                </c:pt>
                <c:pt idx="80">
                  <c:v>271.88</c:v>
                </c:pt>
                <c:pt idx="81">
                  <c:v>400.29</c:v>
                </c:pt>
                <c:pt idx="82">
                  <c:v>177.77</c:v>
                </c:pt>
                <c:pt idx="83">
                  <c:v>406.86</c:v>
                </c:pt>
                <c:pt idx="84">
                  <c:v>526</c:v>
                </c:pt>
                <c:pt idx="85">
                  <c:v>333.97</c:v>
                </c:pt>
                <c:pt idx="86">
                  <c:v>305.8</c:v>
                </c:pt>
                <c:pt idx="87">
                  <c:v>649.79</c:v>
                </c:pt>
                <c:pt idx="88">
                  <c:v>441.53</c:v>
                </c:pt>
                <c:pt idx="89">
                  <c:v>480.51</c:v>
                </c:pt>
                <c:pt idx="90">
                  <c:v>346.99</c:v>
                </c:pt>
                <c:pt idx="91">
                  <c:v>229.23</c:v>
                </c:pt>
                <c:pt idx="92">
                  <c:v>334.84</c:v>
                </c:pt>
                <c:pt idx="93">
                  <c:v>231.79</c:v>
                </c:pt>
                <c:pt idx="94">
                  <c:v>328.54</c:v>
                </c:pt>
                <c:pt idx="95">
                  <c:v>366.99</c:v>
                </c:pt>
                <c:pt idx="96">
                  <c:v>348.96</c:v>
                </c:pt>
                <c:pt idx="97">
                  <c:v>542.62</c:v>
                </c:pt>
                <c:pt idx="98">
                  <c:v>297.69</c:v>
                </c:pt>
                <c:pt idx="99">
                  <c:v>451.1</c:v>
                </c:pt>
                <c:pt idx="100">
                  <c:v>210.95</c:v>
                </c:pt>
                <c:pt idx="101">
                  <c:v>445.59</c:v>
                </c:pt>
                <c:pt idx="102">
                  <c:v>202.82</c:v>
                </c:pt>
                <c:pt idx="103">
                  <c:v>231.32</c:v>
                </c:pt>
                <c:pt idx="104">
                  <c:v>450.29</c:v>
                </c:pt>
                <c:pt idx="105">
                  <c:v>307.72000000000003</c:v>
                </c:pt>
                <c:pt idx="106">
                  <c:v>367.59</c:v>
                </c:pt>
                <c:pt idx="107">
                  <c:v>769.46</c:v>
                </c:pt>
                <c:pt idx="108">
                  <c:v>327.92</c:v>
                </c:pt>
                <c:pt idx="109">
                  <c:v>553.29999999999995</c:v>
                </c:pt>
                <c:pt idx="110">
                  <c:v>352.86</c:v>
                </c:pt>
                <c:pt idx="111">
                  <c:v>313.91000000000003</c:v>
                </c:pt>
                <c:pt idx="112">
                  <c:v>355.1</c:v>
                </c:pt>
                <c:pt idx="113">
                  <c:v>192.76</c:v>
                </c:pt>
                <c:pt idx="114">
                  <c:v>264.44</c:v>
                </c:pt>
                <c:pt idx="115">
                  <c:v>172.21</c:v>
                </c:pt>
                <c:pt idx="116">
                  <c:v>474.66</c:v>
                </c:pt>
                <c:pt idx="117">
                  <c:v>433.58</c:v>
                </c:pt>
                <c:pt idx="118">
                  <c:v>343.6</c:v>
                </c:pt>
                <c:pt idx="119">
                  <c:v>318.3</c:v>
                </c:pt>
                <c:pt idx="120">
                  <c:v>358.41</c:v>
                </c:pt>
                <c:pt idx="121">
                  <c:v>581.5</c:v>
                </c:pt>
                <c:pt idx="122">
                  <c:v>410.9</c:v>
                </c:pt>
                <c:pt idx="123">
                  <c:v>179.51</c:v>
                </c:pt>
                <c:pt idx="124">
                  <c:v>511.14</c:v>
                </c:pt>
                <c:pt idx="125">
                  <c:v>150.18</c:v>
                </c:pt>
                <c:pt idx="126">
                  <c:v>352.65</c:v>
                </c:pt>
                <c:pt idx="127">
                  <c:v>472.62</c:v>
                </c:pt>
                <c:pt idx="128">
                  <c:v>195.33</c:v>
                </c:pt>
                <c:pt idx="129">
                  <c:v>64.63</c:v>
                </c:pt>
                <c:pt idx="130">
                  <c:v>461.12</c:v>
                </c:pt>
                <c:pt idx="131">
                  <c:v>437.11</c:v>
                </c:pt>
                <c:pt idx="132">
                  <c:v>268.97000000000003</c:v>
                </c:pt>
                <c:pt idx="133">
                  <c:v>265.26</c:v>
                </c:pt>
                <c:pt idx="134">
                  <c:v>178.91</c:v>
                </c:pt>
                <c:pt idx="135">
                  <c:v>356.5</c:v>
                </c:pt>
                <c:pt idx="136">
                  <c:v>229.65</c:v>
                </c:pt>
                <c:pt idx="137">
                  <c:v>121.54</c:v>
                </c:pt>
                <c:pt idx="138">
                  <c:v>268</c:v>
                </c:pt>
                <c:pt idx="139">
                  <c:v>426.16</c:v>
                </c:pt>
                <c:pt idx="140">
                  <c:v>316.32</c:v>
                </c:pt>
                <c:pt idx="141">
                  <c:v>492.5</c:v>
                </c:pt>
                <c:pt idx="142">
                  <c:v>232.33</c:v>
                </c:pt>
                <c:pt idx="143">
                  <c:v>165.97</c:v>
                </c:pt>
                <c:pt idx="144">
                  <c:v>675.5</c:v>
                </c:pt>
                <c:pt idx="145">
                  <c:v>134.66</c:v>
                </c:pt>
                <c:pt idx="146">
                  <c:v>487.36</c:v>
                </c:pt>
                <c:pt idx="147">
                  <c:v>314.74</c:v>
                </c:pt>
                <c:pt idx="148">
                  <c:v>111.39</c:v>
                </c:pt>
                <c:pt idx="149">
                  <c:v>318.47000000000003</c:v>
                </c:pt>
                <c:pt idx="150">
                  <c:v>301.75</c:v>
                </c:pt>
                <c:pt idx="151">
                  <c:v>413.36</c:v>
                </c:pt>
                <c:pt idx="152">
                  <c:v>286.68</c:v>
                </c:pt>
                <c:pt idx="153">
                  <c:v>556.30999999999995</c:v>
                </c:pt>
                <c:pt idx="154">
                  <c:v>332.19</c:v>
                </c:pt>
                <c:pt idx="155">
                  <c:v>336.24</c:v>
                </c:pt>
                <c:pt idx="156">
                  <c:v>180.39</c:v>
                </c:pt>
                <c:pt idx="157">
                  <c:v>484.35</c:v>
                </c:pt>
                <c:pt idx="158">
                  <c:v>562.82000000000005</c:v>
                </c:pt>
                <c:pt idx="159">
                  <c:v>447.34</c:v>
                </c:pt>
                <c:pt idx="160">
                  <c:v>649.04999999999995</c:v>
                </c:pt>
                <c:pt idx="161">
                  <c:v>205</c:v>
                </c:pt>
                <c:pt idx="162">
                  <c:v>263.32</c:v>
                </c:pt>
                <c:pt idx="163">
                  <c:v>443.99</c:v>
                </c:pt>
                <c:pt idx="164">
                  <c:v>395.31</c:v>
                </c:pt>
                <c:pt idx="165">
                  <c:v>335.04</c:v>
                </c:pt>
                <c:pt idx="166">
                  <c:v>333.85</c:v>
                </c:pt>
                <c:pt idx="167">
                  <c:v>531.05999999999995</c:v>
                </c:pt>
                <c:pt idx="168">
                  <c:v>232.19</c:v>
                </c:pt>
                <c:pt idx="169">
                  <c:v>223.04</c:v>
                </c:pt>
                <c:pt idx="170">
                  <c:v>422.92</c:v>
                </c:pt>
                <c:pt idx="171">
                  <c:v>257.45</c:v>
                </c:pt>
                <c:pt idx="172">
                  <c:v>380.75</c:v>
                </c:pt>
                <c:pt idx="173">
                  <c:v>225.37</c:v>
                </c:pt>
                <c:pt idx="174">
                  <c:v>582.55999999999995</c:v>
                </c:pt>
                <c:pt idx="175">
                  <c:v>344.91</c:v>
                </c:pt>
                <c:pt idx="176">
                  <c:v>330.79</c:v>
                </c:pt>
                <c:pt idx="177">
                  <c:v>460</c:v>
                </c:pt>
                <c:pt idx="178">
                  <c:v>439.88</c:v>
                </c:pt>
                <c:pt idx="179">
                  <c:v>255.79</c:v>
                </c:pt>
                <c:pt idx="180">
                  <c:v>159.74</c:v>
                </c:pt>
                <c:pt idx="181">
                  <c:v>404.39</c:v>
                </c:pt>
                <c:pt idx="182">
                  <c:v>187.57</c:v>
                </c:pt>
                <c:pt idx="183">
                  <c:v>410.87</c:v>
                </c:pt>
                <c:pt idx="184">
                  <c:v>275.77999999999997</c:v>
                </c:pt>
                <c:pt idx="185">
                  <c:v>746.74</c:v>
                </c:pt>
                <c:pt idx="186">
                  <c:v>310.24</c:v>
                </c:pt>
                <c:pt idx="187">
                  <c:v>341.12</c:v>
                </c:pt>
                <c:pt idx="188">
                  <c:v>91.71</c:v>
                </c:pt>
                <c:pt idx="189">
                  <c:v>331.59</c:v>
                </c:pt>
                <c:pt idx="190">
                  <c:v>381.07</c:v>
                </c:pt>
                <c:pt idx="191">
                  <c:v>255.24</c:v>
                </c:pt>
                <c:pt idx="192">
                  <c:v>692.05</c:v>
                </c:pt>
                <c:pt idx="193">
                  <c:v>344.41</c:v>
                </c:pt>
                <c:pt idx="194">
                  <c:v>397.06</c:v>
                </c:pt>
                <c:pt idx="195">
                  <c:v>586.14</c:v>
                </c:pt>
                <c:pt idx="196">
                  <c:v>333.36</c:v>
                </c:pt>
                <c:pt idx="197">
                  <c:v>245.45</c:v>
                </c:pt>
                <c:pt idx="198">
                  <c:v>379.09</c:v>
                </c:pt>
                <c:pt idx="199">
                  <c:v>440.95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93-4284-890D-DE1F7EA07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Sales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Profit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Sales Frequency Histogram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Histogram!$C$3</c:f>
              <c:strCache>
                <c:ptCount val="1"/>
                <c:pt idx="0">
                  <c:v>Frequency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Histogram!$A$4:$A$11</c:f>
              <c:numCache>
                <c:formatCode>#,##0.00</c:formatCode>
                <c:ptCount val="8"/>
                <c:pt idx="0">
                  <c:v>258.51</c:v>
                </c:pt>
                <c:pt idx="1">
                  <c:v>466.65375</c:v>
                </c:pt>
                <c:pt idx="2">
                  <c:v>674.79750000000001</c:v>
                </c:pt>
                <c:pt idx="3">
                  <c:v>882.94125000000008</c:v>
                </c:pt>
                <c:pt idx="4">
                  <c:v>1091.085</c:v>
                </c:pt>
                <c:pt idx="5">
                  <c:v>1299.22875</c:v>
                </c:pt>
                <c:pt idx="6">
                  <c:v>1507.3724999999999</c:v>
                </c:pt>
                <c:pt idx="7">
                  <c:v>1715.5162499999999</c:v>
                </c:pt>
              </c:numCache>
            </c:numRef>
          </c:cat>
          <c:val>
            <c:numRef>
              <c:f>Histogram!$C$4:$C$11</c:f>
              <c:numCache>
                <c:formatCode>General</c:formatCode>
                <c:ptCount val="8"/>
                <c:pt idx="0">
                  <c:v>8</c:v>
                </c:pt>
                <c:pt idx="1">
                  <c:v>20</c:v>
                </c:pt>
                <c:pt idx="2">
                  <c:v>52</c:v>
                </c:pt>
                <c:pt idx="3">
                  <c:v>50</c:v>
                </c:pt>
                <c:pt idx="4">
                  <c:v>42</c:v>
                </c:pt>
                <c:pt idx="5">
                  <c:v>21</c:v>
                </c:pt>
                <c:pt idx="6">
                  <c:v>6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D-41BB-BBE6-6A06F7296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Sales Range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Frequency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7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23</xdr:row>
      <xdr:rowOff>0</xdr:rowOff>
    </xdr:from>
    <xdr:ext cx="468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468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J201">
  <autoFilter ref="A1:J201" xr:uid="{00000000-0009-0000-0100-000001000000}"/>
  <tableColumns count="10">
    <tableColumn id="1" xr3:uid="{00000000-0010-0000-0000-000001000000}" name="Customer_ID"/>
    <tableColumn id="2" xr3:uid="{00000000-0010-0000-0000-000002000000}" name="Customer_Name"/>
    <tableColumn id="3" xr3:uid="{00000000-0010-0000-0000-000003000000}" name="Region"/>
    <tableColumn id="4" xr3:uid="{00000000-0010-0000-0000-000004000000}" name="Product_Category"/>
    <tableColumn id="5" xr3:uid="{00000000-0010-0000-0000-000005000000}" name="Sales"/>
    <tableColumn id="6" xr3:uid="{00000000-0010-0000-0000-000006000000}" name="Quantity"/>
    <tableColumn id="7" xr3:uid="{00000000-0010-0000-0000-000007000000}" name="Discount"/>
    <tableColumn id="8" xr3:uid="{00000000-0010-0000-0000-000008000000}" name="Order_Date"/>
    <tableColumn id="9" xr3:uid="{00000000-0010-0000-0000-000009000000}" name="Profit"/>
    <tableColumn id="10" xr3:uid="{00000000-0010-0000-0000-00000A000000}" name="Timestam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8"/>
  <sheetViews>
    <sheetView showGridLines="0" workbookViewId="0">
      <pane ySplit="7" topLeftCell="A8" activePane="bottomLeft" state="frozen"/>
      <selection pane="bottomLeft" activeCell="G10" sqref="G10"/>
    </sheetView>
  </sheetViews>
  <sheetFormatPr defaultRowHeight="14.4" x14ac:dyDescent="0.3"/>
  <cols>
    <col min="1" max="7" width="15" customWidth="1"/>
    <col min="8" max="8" width="20" customWidth="1"/>
    <col min="9" max="12" width="15" customWidth="1"/>
  </cols>
  <sheetData>
    <row r="1" spans="1:12" ht="28.05" customHeight="1" x14ac:dyDescent="0.4">
      <c r="A1" s="22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3" spans="1:12" x14ac:dyDescent="0.3">
      <c r="A3" s="20" t="s">
        <v>1</v>
      </c>
      <c r="B3" s="17"/>
      <c r="C3" s="20" t="s">
        <v>2</v>
      </c>
      <c r="D3" s="17"/>
      <c r="E3" s="20" t="s">
        <v>3</v>
      </c>
      <c r="F3" s="17"/>
      <c r="G3" s="20" t="s">
        <v>4</v>
      </c>
      <c r="H3" s="17"/>
      <c r="I3" s="20" t="s">
        <v>5</v>
      </c>
      <c r="J3" s="17"/>
      <c r="K3" s="20" t="s">
        <v>6</v>
      </c>
      <c r="L3" s="17"/>
    </row>
    <row r="4" spans="1:12" x14ac:dyDescent="0.3">
      <c r="A4" s="18">
        <v>195217.76</v>
      </c>
      <c r="B4" s="17"/>
      <c r="C4" s="18">
        <v>68287.010000000009</v>
      </c>
      <c r="D4" s="17"/>
      <c r="E4" s="21">
        <v>200</v>
      </c>
      <c r="F4" s="17"/>
      <c r="G4" s="18">
        <v>9.7250000000000017E-2</v>
      </c>
      <c r="H4" s="17"/>
      <c r="I4" s="19" t="s">
        <v>7</v>
      </c>
      <c r="J4" s="17"/>
      <c r="K4" s="19" t="s">
        <v>8</v>
      </c>
      <c r="L4" s="17"/>
    </row>
    <row r="5" spans="1:12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8" spans="1:12" x14ac:dyDescent="0.3">
      <c r="A8" s="1" t="s">
        <v>9</v>
      </c>
      <c r="B8" s="1" t="s">
        <v>10</v>
      </c>
      <c r="C8" s="1" t="s">
        <v>11</v>
      </c>
    </row>
    <row r="9" spans="1:12" x14ac:dyDescent="0.3">
      <c r="A9" t="s">
        <v>12</v>
      </c>
      <c r="B9" s="2">
        <v>19029.96</v>
      </c>
      <c r="C9" s="2">
        <v>6244.01</v>
      </c>
    </row>
    <row r="10" spans="1:12" x14ac:dyDescent="0.3">
      <c r="A10" t="s">
        <v>13</v>
      </c>
      <c r="B10" s="2">
        <v>18507.34</v>
      </c>
      <c r="C10" s="2">
        <v>6121.35</v>
      </c>
    </row>
    <row r="11" spans="1:12" x14ac:dyDescent="0.3">
      <c r="A11" t="s">
        <v>14</v>
      </c>
      <c r="B11" s="2">
        <v>20187.509999999998</v>
      </c>
      <c r="C11" s="2">
        <v>6918</v>
      </c>
    </row>
    <row r="12" spans="1:12" x14ac:dyDescent="0.3">
      <c r="A12" t="s">
        <v>15</v>
      </c>
      <c r="B12" s="2">
        <v>11609.04</v>
      </c>
      <c r="C12" s="2">
        <v>3743.85</v>
      </c>
    </row>
    <row r="13" spans="1:12" x14ac:dyDescent="0.3">
      <c r="A13" t="s">
        <v>16</v>
      </c>
      <c r="B13" s="2">
        <v>10091.700000000001</v>
      </c>
      <c r="C13" s="2">
        <v>3302.84</v>
      </c>
    </row>
    <row r="14" spans="1:12" x14ac:dyDescent="0.3">
      <c r="A14" t="s">
        <v>17</v>
      </c>
      <c r="B14" s="2">
        <v>20533.5</v>
      </c>
      <c r="C14" s="2">
        <v>7457.52</v>
      </c>
    </row>
    <row r="15" spans="1:12" x14ac:dyDescent="0.3">
      <c r="A15" t="s">
        <v>18</v>
      </c>
      <c r="B15" s="2">
        <v>14215.24</v>
      </c>
      <c r="C15" s="2">
        <v>4861.7</v>
      </c>
    </row>
    <row r="16" spans="1:12" x14ac:dyDescent="0.3">
      <c r="A16" t="s">
        <v>19</v>
      </c>
      <c r="B16" s="2">
        <v>20135.03</v>
      </c>
      <c r="C16" s="2">
        <v>6814.88</v>
      </c>
    </row>
    <row r="17" spans="1:6" x14ac:dyDescent="0.3">
      <c r="A17" t="s">
        <v>20</v>
      </c>
      <c r="B17" s="2">
        <v>11120.04</v>
      </c>
      <c r="C17" s="2">
        <v>3549.99</v>
      </c>
    </row>
    <row r="18" spans="1:6" x14ac:dyDescent="0.3">
      <c r="A18" t="s">
        <v>21</v>
      </c>
      <c r="B18" s="2">
        <v>14914.65</v>
      </c>
      <c r="C18" s="2">
        <v>5763.4</v>
      </c>
    </row>
    <row r="19" spans="1:6" x14ac:dyDescent="0.3">
      <c r="A19" t="s">
        <v>22</v>
      </c>
      <c r="B19" s="2">
        <v>14006.36</v>
      </c>
      <c r="C19" s="2">
        <v>5039.2299999999996</v>
      </c>
    </row>
    <row r="20" spans="1:6" x14ac:dyDescent="0.3">
      <c r="A20" t="s">
        <v>23</v>
      </c>
      <c r="B20" s="2">
        <v>17655.22</v>
      </c>
      <c r="C20" s="2">
        <v>7071.39</v>
      </c>
    </row>
    <row r="21" spans="1:6" x14ac:dyDescent="0.3">
      <c r="A21" t="s">
        <v>24</v>
      </c>
      <c r="B21" s="2">
        <v>3212.17</v>
      </c>
      <c r="C21" s="2">
        <v>1398.85</v>
      </c>
    </row>
    <row r="24" spans="1:6" x14ac:dyDescent="0.3">
      <c r="A24" s="1" t="s">
        <v>25</v>
      </c>
      <c r="B24" s="1" t="s">
        <v>10</v>
      </c>
    </row>
    <row r="25" spans="1:6" x14ac:dyDescent="0.3">
      <c r="A25" t="s">
        <v>7</v>
      </c>
      <c r="B25" s="2">
        <v>44083.58</v>
      </c>
      <c r="E25" t="s">
        <v>8</v>
      </c>
      <c r="F25" s="2">
        <v>47002.46</v>
      </c>
    </row>
    <row r="26" spans="1:6" x14ac:dyDescent="0.3">
      <c r="A26" t="s">
        <v>26</v>
      </c>
      <c r="B26" s="2">
        <v>43468.33</v>
      </c>
      <c r="E26" t="s">
        <v>27</v>
      </c>
      <c r="F26" s="2">
        <v>41927.589999999997</v>
      </c>
    </row>
    <row r="27" spans="1:6" x14ac:dyDescent="0.3">
      <c r="A27" t="s">
        <v>28</v>
      </c>
      <c r="B27" s="2">
        <v>40248.79</v>
      </c>
      <c r="E27" t="s">
        <v>29</v>
      </c>
      <c r="F27" s="2">
        <v>41044</v>
      </c>
    </row>
    <row r="28" spans="1:6" x14ac:dyDescent="0.3">
      <c r="A28" t="s">
        <v>30</v>
      </c>
      <c r="B28" s="2">
        <v>34975.42</v>
      </c>
      <c r="E28" t="s">
        <v>31</v>
      </c>
      <c r="F28" s="2">
        <v>36612.89</v>
      </c>
    </row>
    <row r="29" spans="1:6" x14ac:dyDescent="0.3">
      <c r="A29" t="s">
        <v>32</v>
      </c>
      <c r="B29" s="2">
        <v>32441.64</v>
      </c>
      <c r="E29" t="s">
        <v>33</v>
      </c>
      <c r="F29" s="2">
        <v>28630.82</v>
      </c>
    </row>
    <row r="42" spans="8:12" ht="15.6" x14ac:dyDescent="0.3">
      <c r="H42" s="3" t="s">
        <v>34</v>
      </c>
    </row>
    <row r="43" spans="8:12" x14ac:dyDescent="0.3">
      <c r="H43" s="16" t="s">
        <v>35</v>
      </c>
      <c r="I43" s="17"/>
      <c r="J43" s="17"/>
      <c r="K43" s="17"/>
      <c r="L43" s="17"/>
    </row>
    <row r="44" spans="8:12" x14ac:dyDescent="0.3">
      <c r="H44" s="16" t="s">
        <v>36</v>
      </c>
      <c r="I44" s="17"/>
      <c r="J44" s="17"/>
      <c r="K44" s="17"/>
      <c r="L44" s="17"/>
    </row>
    <row r="45" spans="8:12" x14ac:dyDescent="0.3">
      <c r="H45" s="16" t="s">
        <v>37</v>
      </c>
      <c r="I45" s="17"/>
      <c r="J45" s="17"/>
      <c r="K45" s="17"/>
      <c r="L45" s="17"/>
    </row>
    <row r="46" spans="8:12" x14ac:dyDescent="0.3">
      <c r="H46" s="16" t="s">
        <v>38</v>
      </c>
      <c r="I46" s="17"/>
      <c r="J46" s="17"/>
      <c r="K46" s="17"/>
      <c r="L46" s="17"/>
    </row>
    <row r="47" spans="8:12" x14ac:dyDescent="0.3">
      <c r="H47" s="16" t="s">
        <v>39</v>
      </c>
      <c r="I47" s="17"/>
      <c r="J47" s="17"/>
      <c r="K47" s="17"/>
      <c r="L47" s="17"/>
    </row>
    <row r="48" spans="8:12" x14ac:dyDescent="0.3">
      <c r="H48" s="16" t="s">
        <v>40</v>
      </c>
      <c r="I48" s="17"/>
      <c r="J48" s="17"/>
      <c r="K48" s="17"/>
      <c r="L48" s="17"/>
    </row>
  </sheetData>
  <mergeCells count="19">
    <mergeCell ref="H47:L47"/>
    <mergeCell ref="C4:D5"/>
    <mergeCell ref="E4:F5"/>
    <mergeCell ref="A1:L1"/>
    <mergeCell ref="H48:L48"/>
    <mergeCell ref="C3:D3"/>
    <mergeCell ref="E3:F3"/>
    <mergeCell ref="K3:L3"/>
    <mergeCell ref="H46:L46"/>
    <mergeCell ref="A3:B3"/>
    <mergeCell ref="G3:H3"/>
    <mergeCell ref="I3:J3"/>
    <mergeCell ref="H45:L45"/>
    <mergeCell ref="H43:L43"/>
    <mergeCell ref="H44:L44"/>
    <mergeCell ref="A4:B5"/>
    <mergeCell ref="G4:H5"/>
    <mergeCell ref="I4:J5"/>
    <mergeCell ref="K4:L5"/>
  </mergeCells>
  <pageMargins left="0.75" right="0.75" top="1" bottom="1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2"/>
  <sheetViews>
    <sheetView showGridLines="0" tabSelected="1" zoomScale="125" workbookViewId="0">
      <pane ySplit="2" topLeftCell="A17" activePane="bottomLeft" state="frozen"/>
      <selection pane="bottomLeft" sqref="A1:H1"/>
    </sheetView>
  </sheetViews>
  <sheetFormatPr defaultRowHeight="14.4" x14ac:dyDescent="0.3"/>
  <cols>
    <col min="1" max="1" width="115" customWidth="1"/>
  </cols>
  <sheetData>
    <row r="1" spans="1:8" ht="28.05" customHeight="1" x14ac:dyDescent="0.4">
      <c r="A1" s="22" t="s">
        <v>41</v>
      </c>
      <c r="B1" s="17"/>
      <c r="C1" s="17"/>
      <c r="D1" s="17"/>
      <c r="E1" s="17"/>
      <c r="F1" s="17"/>
      <c r="G1" s="17"/>
      <c r="H1" s="17"/>
    </row>
    <row r="3" spans="1:8" x14ac:dyDescent="0.3">
      <c r="A3" s="23" t="s">
        <v>42</v>
      </c>
      <c r="B3" s="17"/>
      <c r="C3" s="17"/>
      <c r="D3" s="17"/>
      <c r="E3" s="17"/>
      <c r="F3" s="17"/>
      <c r="G3" s="17"/>
      <c r="H3" s="17"/>
    </row>
    <row r="4" spans="1:8" x14ac:dyDescent="0.3">
      <c r="A4" s="23" t="s">
        <v>43</v>
      </c>
      <c r="B4" s="17"/>
      <c r="C4" s="17"/>
      <c r="D4" s="17"/>
      <c r="E4" s="17"/>
      <c r="F4" s="17"/>
      <c r="G4" s="17"/>
      <c r="H4" s="17"/>
    </row>
    <row r="5" spans="1:8" x14ac:dyDescent="0.3">
      <c r="A5" s="23" t="s">
        <v>44</v>
      </c>
      <c r="B5" s="17"/>
      <c r="C5" s="17"/>
      <c r="D5" s="17"/>
      <c r="E5" s="17"/>
      <c r="F5" s="17"/>
      <c r="G5" s="17"/>
      <c r="H5" s="17"/>
    </row>
    <row r="6" spans="1:8" x14ac:dyDescent="0.3">
      <c r="A6" s="23" t="s">
        <v>45</v>
      </c>
      <c r="B6" s="17"/>
      <c r="C6" s="17"/>
      <c r="D6" s="17"/>
      <c r="E6" s="17"/>
      <c r="F6" s="17"/>
      <c r="G6" s="17"/>
      <c r="H6" s="17"/>
    </row>
    <row r="7" spans="1:8" x14ac:dyDescent="0.3">
      <c r="A7" s="23" t="s">
        <v>46</v>
      </c>
      <c r="B7" s="17"/>
      <c r="C7" s="17"/>
      <c r="D7" s="17"/>
      <c r="E7" s="17"/>
      <c r="F7" s="17"/>
      <c r="G7" s="17"/>
      <c r="H7" s="17"/>
    </row>
    <row r="8" spans="1:8" x14ac:dyDescent="0.3">
      <c r="A8" s="23" t="s">
        <v>47</v>
      </c>
      <c r="B8" s="17"/>
      <c r="C8" s="17"/>
      <c r="D8" s="17"/>
      <c r="E8" s="17"/>
      <c r="F8" s="17"/>
      <c r="G8" s="17"/>
      <c r="H8" s="17"/>
    </row>
    <row r="9" spans="1:8" x14ac:dyDescent="0.3">
      <c r="A9" s="23" t="s">
        <v>48</v>
      </c>
      <c r="B9" s="17"/>
      <c r="C9" s="17"/>
      <c r="D9" s="17"/>
      <c r="E9" s="17"/>
      <c r="F9" s="17"/>
      <c r="G9" s="17"/>
      <c r="H9" s="17"/>
    </row>
    <row r="10" spans="1:8" x14ac:dyDescent="0.3">
      <c r="A10" s="23" t="s">
        <v>49</v>
      </c>
      <c r="B10" s="17"/>
      <c r="C10" s="17"/>
      <c r="D10" s="17"/>
      <c r="E10" s="17"/>
      <c r="F10" s="17"/>
      <c r="G10" s="17"/>
      <c r="H10" s="17"/>
    </row>
    <row r="11" spans="1:8" x14ac:dyDescent="0.3">
      <c r="A11" s="23" t="s">
        <v>50</v>
      </c>
      <c r="B11" s="17"/>
      <c r="C11" s="17"/>
      <c r="D11" s="17"/>
      <c r="E11" s="17"/>
      <c r="F11" s="17"/>
      <c r="G11" s="17"/>
      <c r="H11" s="17"/>
    </row>
    <row r="12" spans="1:8" x14ac:dyDescent="0.3">
      <c r="A12" s="23" t="s">
        <v>51</v>
      </c>
      <c r="B12" s="17"/>
      <c r="C12" s="17"/>
      <c r="D12" s="17"/>
      <c r="E12" s="17"/>
      <c r="F12" s="17"/>
      <c r="G12" s="17"/>
      <c r="H12" s="17"/>
    </row>
  </sheetData>
  <mergeCells count="11">
    <mergeCell ref="A1:H1"/>
    <mergeCell ref="A4:H4"/>
    <mergeCell ref="A9:H9"/>
    <mergeCell ref="A3:H3"/>
    <mergeCell ref="A12:H12"/>
    <mergeCell ref="A7:H7"/>
    <mergeCell ref="A10:H10"/>
    <mergeCell ref="A11:H11"/>
    <mergeCell ref="A5:H5"/>
    <mergeCell ref="A8:H8"/>
    <mergeCell ref="A6:H6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01"/>
  <sheetViews>
    <sheetView showGridLines="0" topLeftCell="B1" zoomScale="121" workbookViewId="0">
      <pane ySplit="1" topLeftCell="A3" activePane="bottomLeft" state="frozen"/>
      <selection pane="bottomLeft"/>
    </sheetView>
  </sheetViews>
  <sheetFormatPr defaultRowHeight="14.4" x14ac:dyDescent="0.3"/>
  <cols>
    <col min="1" max="1" width="13" customWidth="1"/>
    <col min="2" max="2" width="18" customWidth="1"/>
    <col min="3" max="3" width="10" customWidth="1"/>
    <col min="4" max="4" width="18" customWidth="1"/>
    <col min="5" max="7" width="10" customWidth="1"/>
    <col min="8" max="8" width="21" customWidth="1"/>
    <col min="9" max="9" width="10" customWidth="1"/>
    <col min="10" max="10" width="11" customWidth="1"/>
  </cols>
  <sheetData>
    <row r="1" spans="1:10" x14ac:dyDescent="0.3">
      <c r="A1" s="1" t="s">
        <v>52</v>
      </c>
      <c r="B1" s="1" t="s">
        <v>53</v>
      </c>
      <c r="C1" s="1" t="s">
        <v>54</v>
      </c>
      <c r="D1" s="1" t="s">
        <v>55</v>
      </c>
      <c r="E1" s="1" t="s">
        <v>10</v>
      </c>
      <c r="F1" s="1" t="s">
        <v>56</v>
      </c>
      <c r="G1" s="1" t="s">
        <v>57</v>
      </c>
      <c r="H1" s="1" t="s">
        <v>58</v>
      </c>
      <c r="I1" s="1" t="s">
        <v>11</v>
      </c>
      <c r="J1" s="1" t="s">
        <v>59</v>
      </c>
    </row>
    <row r="2" spans="1:10" x14ac:dyDescent="0.3">
      <c r="A2" s="5" t="s">
        <v>60</v>
      </c>
      <c r="B2" s="5" t="s">
        <v>61</v>
      </c>
      <c r="C2" s="5" t="s">
        <v>7</v>
      </c>
      <c r="D2" s="5" t="s">
        <v>8</v>
      </c>
      <c r="E2" s="6">
        <v>1036.0899999999999</v>
      </c>
      <c r="F2" s="5">
        <v>4</v>
      </c>
      <c r="G2" s="7">
        <v>0.2</v>
      </c>
      <c r="H2" s="8">
        <v>45392</v>
      </c>
      <c r="I2" s="6">
        <v>331.55</v>
      </c>
      <c r="J2" s="9">
        <f t="shared" ref="J2:J33" ca="1" si="0">NOW()</f>
        <v>46301.6411912037</v>
      </c>
    </row>
    <row r="3" spans="1:10" x14ac:dyDescent="0.3">
      <c r="A3" s="5" t="s">
        <v>62</v>
      </c>
      <c r="B3" s="5" t="s">
        <v>63</v>
      </c>
      <c r="C3" s="5" t="s">
        <v>7</v>
      </c>
      <c r="D3" s="5" t="s">
        <v>27</v>
      </c>
      <c r="E3" s="6">
        <v>1101.28</v>
      </c>
      <c r="F3" s="5">
        <v>3</v>
      </c>
      <c r="G3" s="7">
        <v>0.2</v>
      </c>
      <c r="H3" s="8">
        <v>45393</v>
      </c>
      <c r="I3" s="6">
        <v>440.51</v>
      </c>
      <c r="J3" s="9">
        <f t="shared" ca="1" si="0"/>
        <v>46301.6411912037</v>
      </c>
    </row>
    <row r="4" spans="1:10" x14ac:dyDescent="0.3">
      <c r="A4" s="5" t="s">
        <v>64</v>
      </c>
      <c r="B4" s="5" t="s">
        <v>65</v>
      </c>
      <c r="C4" s="5" t="s">
        <v>32</v>
      </c>
      <c r="D4" s="5" t="s">
        <v>8</v>
      </c>
      <c r="E4" s="6">
        <v>713.34</v>
      </c>
      <c r="F4" s="5">
        <v>17</v>
      </c>
      <c r="G4" s="7">
        <v>0</v>
      </c>
      <c r="H4" s="8">
        <v>45396</v>
      </c>
      <c r="I4" s="6">
        <v>285.33999999999997</v>
      </c>
      <c r="J4" s="9">
        <f t="shared" ca="1" si="0"/>
        <v>46301.6411912037</v>
      </c>
    </row>
    <row r="5" spans="1:10" x14ac:dyDescent="0.3">
      <c r="A5" s="5" t="s">
        <v>66</v>
      </c>
      <c r="B5" s="5" t="s">
        <v>63</v>
      </c>
      <c r="C5" s="5" t="s">
        <v>28</v>
      </c>
      <c r="D5" s="5" t="s">
        <v>29</v>
      </c>
      <c r="E5" s="6">
        <v>760.93</v>
      </c>
      <c r="F5" s="5">
        <v>4</v>
      </c>
      <c r="G5" s="7">
        <v>0.15</v>
      </c>
      <c r="H5" s="8">
        <v>45396</v>
      </c>
      <c r="I5" s="6">
        <v>161.69999999999999</v>
      </c>
      <c r="J5" s="9">
        <f t="shared" ca="1" si="0"/>
        <v>46301.6411912037</v>
      </c>
    </row>
    <row r="6" spans="1:10" x14ac:dyDescent="0.3">
      <c r="A6" s="5" t="s">
        <v>67</v>
      </c>
      <c r="B6" s="5" t="s">
        <v>68</v>
      </c>
      <c r="C6" s="5" t="s">
        <v>30</v>
      </c>
      <c r="D6" s="5" t="s">
        <v>8</v>
      </c>
      <c r="E6" s="6">
        <v>847</v>
      </c>
      <c r="F6" s="5">
        <v>12</v>
      </c>
      <c r="G6" s="7">
        <v>0.2</v>
      </c>
      <c r="H6" s="8">
        <v>45397</v>
      </c>
      <c r="I6" s="6">
        <v>271.04000000000002</v>
      </c>
      <c r="J6" s="9">
        <f t="shared" ca="1" si="0"/>
        <v>46301.6411912037</v>
      </c>
    </row>
    <row r="7" spans="1:10" x14ac:dyDescent="0.3">
      <c r="A7" s="5" t="s">
        <v>69</v>
      </c>
      <c r="B7" s="5" t="s">
        <v>70</v>
      </c>
      <c r="C7" s="5" t="s">
        <v>30</v>
      </c>
      <c r="D7" s="5" t="s">
        <v>31</v>
      </c>
      <c r="E7" s="6">
        <v>965.64</v>
      </c>
      <c r="F7" s="5">
        <v>8</v>
      </c>
      <c r="G7" s="7">
        <v>0.1</v>
      </c>
      <c r="H7" s="8">
        <v>45398</v>
      </c>
      <c r="I7" s="6">
        <v>304.18</v>
      </c>
      <c r="J7" s="9">
        <f t="shared" ca="1" si="0"/>
        <v>46301.6411912037</v>
      </c>
    </row>
    <row r="8" spans="1:10" x14ac:dyDescent="0.3">
      <c r="A8" s="5" t="s">
        <v>71</v>
      </c>
      <c r="B8" s="5" t="s">
        <v>72</v>
      </c>
      <c r="C8" s="5" t="s">
        <v>7</v>
      </c>
      <c r="D8" s="5" t="s">
        <v>29</v>
      </c>
      <c r="E8" s="6">
        <v>1317.53</v>
      </c>
      <c r="F8" s="5">
        <v>12</v>
      </c>
      <c r="G8" s="7">
        <v>0.05</v>
      </c>
      <c r="H8" s="8">
        <v>45398</v>
      </c>
      <c r="I8" s="6">
        <v>312.91000000000003</v>
      </c>
      <c r="J8" s="9">
        <f t="shared" ca="1" si="0"/>
        <v>46301.6411912037</v>
      </c>
    </row>
    <row r="9" spans="1:10" x14ac:dyDescent="0.3">
      <c r="A9" s="5" t="s">
        <v>73</v>
      </c>
      <c r="B9" s="5" t="s">
        <v>74</v>
      </c>
      <c r="C9" s="5" t="s">
        <v>32</v>
      </c>
      <c r="D9" s="5" t="s">
        <v>31</v>
      </c>
      <c r="E9" s="6">
        <v>1074.47</v>
      </c>
      <c r="F9" s="5">
        <v>6</v>
      </c>
      <c r="G9" s="7">
        <v>0.2</v>
      </c>
      <c r="H9" s="8">
        <v>45401</v>
      </c>
      <c r="I9" s="6">
        <v>300.85000000000002</v>
      </c>
      <c r="J9" s="9">
        <f t="shared" ca="1" si="0"/>
        <v>46301.6411912037</v>
      </c>
    </row>
    <row r="10" spans="1:10" x14ac:dyDescent="0.3">
      <c r="A10" s="5" t="s">
        <v>75</v>
      </c>
      <c r="B10" s="5" t="s">
        <v>76</v>
      </c>
      <c r="C10" s="5" t="s">
        <v>26</v>
      </c>
      <c r="D10" s="5" t="s">
        <v>8</v>
      </c>
      <c r="E10" s="6">
        <v>501.54</v>
      </c>
      <c r="F10" s="5">
        <v>11</v>
      </c>
      <c r="G10" s="7">
        <v>0.05</v>
      </c>
      <c r="H10" s="8">
        <v>45401</v>
      </c>
      <c r="I10" s="6">
        <v>190.59</v>
      </c>
      <c r="J10" s="9">
        <f t="shared" ca="1" si="0"/>
        <v>46301.6411912037</v>
      </c>
    </row>
    <row r="11" spans="1:10" x14ac:dyDescent="0.3">
      <c r="A11" s="5" t="s">
        <v>77</v>
      </c>
      <c r="B11" s="5" t="s">
        <v>78</v>
      </c>
      <c r="C11" s="5" t="s">
        <v>26</v>
      </c>
      <c r="D11" s="5" t="s">
        <v>27</v>
      </c>
      <c r="E11" s="6">
        <v>737.31</v>
      </c>
      <c r="F11" s="5">
        <v>2</v>
      </c>
      <c r="G11" s="7">
        <v>0.05</v>
      </c>
      <c r="H11" s="8">
        <v>45401</v>
      </c>
      <c r="I11" s="6">
        <v>350.22</v>
      </c>
      <c r="J11" s="9">
        <f t="shared" ca="1" si="0"/>
        <v>46301.6411912037</v>
      </c>
    </row>
    <row r="12" spans="1:10" x14ac:dyDescent="0.3">
      <c r="A12" s="5" t="s">
        <v>79</v>
      </c>
      <c r="B12" s="5" t="s">
        <v>80</v>
      </c>
      <c r="C12" s="5" t="s">
        <v>7</v>
      </c>
      <c r="D12" s="5" t="s">
        <v>33</v>
      </c>
      <c r="E12" s="6">
        <v>1572.82</v>
      </c>
      <c r="F12" s="5">
        <v>6</v>
      </c>
      <c r="G12" s="7">
        <v>0.05</v>
      </c>
      <c r="H12" s="8">
        <v>45402</v>
      </c>
      <c r="I12" s="6">
        <v>672.38</v>
      </c>
      <c r="J12" s="9">
        <f t="shared" ca="1" si="0"/>
        <v>46301.6411912037</v>
      </c>
    </row>
    <row r="13" spans="1:10" x14ac:dyDescent="0.3">
      <c r="A13" s="5" t="s">
        <v>79</v>
      </c>
      <c r="B13" s="5" t="s">
        <v>78</v>
      </c>
      <c r="C13" s="5" t="s">
        <v>26</v>
      </c>
      <c r="D13" s="5" t="s">
        <v>8</v>
      </c>
      <c r="E13" s="6">
        <v>1343.13</v>
      </c>
      <c r="F13" s="5">
        <v>14</v>
      </c>
      <c r="G13" s="7">
        <v>0.15</v>
      </c>
      <c r="H13" s="8">
        <v>45404</v>
      </c>
      <c r="I13" s="6">
        <v>456.66</v>
      </c>
      <c r="J13" s="9">
        <f t="shared" ca="1" si="0"/>
        <v>46301.6411912037</v>
      </c>
    </row>
    <row r="14" spans="1:10" x14ac:dyDescent="0.3">
      <c r="A14" s="5" t="s">
        <v>69</v>
      </c>
      <c r="B14" s="5" t="s">
        <v>70</v>
      </c>
      <c r="C14" s="5" t="s">
        <v>26</v>
      </c>
      <c r="D14" s="5" t="s">
        <v>8</v>
      </c>
      <c r="E14" s="6">
        <v>1191.58</v>
      </c>
      <c r="F14" s="5">
        <v>14</v>
      </c>
      <c r="G14" s="7">
        <v>0.05</v>
      </c>
      <c r="H14" s="8">
        <v>45406</v>
      </c>
      <c r="I14" s="6">
        <v>452.8</v>
      </c>
      <c r="J14" s="9">
        <f t="shared" ca="1" si="0"/>
        <v>46301.6411912037</v>
      </c>
    </row>
    <row r="15" spans="1:10" x14ac:dyDescent="0.3">
      <c r="A15" s="5" t="s">
        <v>81</v>
      </c>
      <c r="B15" s="5" t="s">
        <v>63</v>
      </c>
      <c r="C15" s="5" t="s">
        <v>7</v>
      </c>
      <c r="D15" s="5" t="s">
        <v>31</v>
      </c>
      <c r="E15" s="6">
        <v>822.28</v>
      </c>
      <c r="F15" s="5">
        <v>7</v>
      </c>
      <c r="G15" s="7">
        <v>0.05</v>
      </c>
      <c r="H15" s="8">
        <v>45406</v>
      </c>
      <c r="I15" s="6">
        <v>273.41000000000003</v>
      </c>
      <c r="J15" s="9">
        <f t="shared" ca="1" si="0"/>
        <v>46301.6411912037</v>
      </c>
    </row>
    <row r="16" spans="1:10" x14ac:dyDescent="0.3">
      <c r="A16" s="5" t="s">
        <v>82</v>
      </c>
      <c r="B16" s="5" t="s">
        <v>83</v>
      </c>
      <c r="C16" s="5" t="s">
        <v>30</v>
      </c>
      <c r="D16" s="5" t="s">
        <v>31</v>
      </c>
      <c r="E16" s="6">
        <v>521.66999999999996</v>
      </c>
      <c r="F16" s="5">
        <v>15</v>
      </c>
      <c r="G16" s="7">
        <v>0.15</v>
      </c>
      <c r="H16" s="8">
        <v>45409</v>
      </c>
      <c r="I16" s="6">
        <v>155.19999999999999</v>
      </c>
      <c r="J16" s="9">
        <f t="shared" ca="1" si="0"/>
        <v>46301.6411912037</v>
      </c>
    </row>
    <row r="17" spans="1:10" x14ac:dyDescent="0.3">
      <c r="A17" s="5" t="s">
        <v>66</v>
      </c>
      <c r="B17" s="5" t="s">
        <v>84</v>
      </c>
      <c r="C17" s="5" t="s">
        <v>28</v>
      </c>
      <c r="D17" s="5" t="s">
        <v>29</v>
      </c>
      <c r="E17" s="6">
        <v>1502.93</v>
      </c>
      <c r="F17" s="5">
        <v>14</v>
      </c>
      <c r="G17" s="7">
        <v>0.2</v>
      </c>
      <c r="H17" s="8">
        <v>45410</v>
      </c>
      <c r="I17" s="6">
        <v>300.58999999999997</v>
      </c>
      <c r="J17" s="9">
        <f t="shared" ca="1" si="0"/>
        <v>46301.6411912037</v>
      </c>
    </row>
    <row r="18" spans="1:10" x14ac:dyDescent="0.3">
      <c r="A18" s="5" t="s">
        <v>85</v>
      </c>
      <c r="B18" s="5" t="s">
        <v>63</v>
      </c>
      <c r="C18" s="5" t="s">
        <v>28</v>
      </c>
      <c r="D18" s="5" t="s">
        <v>8</v>
      </c>
      <c r="E18" s="6">
        <v>877.58</v>
      </c>
      <c r="F18" s="5">
        <v>10</v>
      </c>
      <c r="G18" s="7">
        <v>0.15</v>
      </c>
      <c r="H18" s="8">
        <v>45411</v>
      </c>
      <c r="I18" s="6">
        <v>298.38</v>
      </c>
      <c r="J18" s="9">
        <f t="shared" ca="1" si="0"/>
        <v>46301.6411912037</v>
      </c>
    </row>
    <row r="19" spans="1:10" x14ac:dyDescent="0.3">
      <c r="A19" s="5" t="s">
        <v>71</v>
      </c>
      <c r="B19" s="5" t="s">
        <v>86</v>
      </c>
      <c r="C19" s="5" t="s">
        <v>7</v>
      </c>
      <c r="D19" s="5" t="s">
        <v>8</v>
      </c>
      <c r="E19" s="6">
        <v>636.70000000000005</v>
      </c>
      <c r="F19" s="5">
        <v>4</v>
      </c>
      <c r="G19" s="7">
        <v>0.2</v>
      </c>
      <c r="H19" s="8">
        <v>45411</v>
      </c>
      <c r="I19" s="6">
        <v>203.74</v>
      </c>
      <c r="J19" s="9">
        <f t="shared" ca="1" si="0"/>
        <v>46301.6411912037</v>
      </c>
    </row>
    <row r="20" spans="1:10" x14ac:dyDescent="0.3">
      <c r="A20" s="5" t="s">
        <v>87</v>
      </c>
      <c r="B20" s="5" t="s">
        <v>88</v>
      </c>
      <c r="C20" s="5" t="s">
        <v>7</v>
      </c>
      <c r="D20" s="5" t="s">
        <v>8</v>
      </c>
      <c r="E20" s="6">
        <v>1506.14</v>
      </c>
      <c r="F20" s="5">
        <v>13</v>
      </c>
      <c r="G20" s="7">
        <v>0.2</v>
      </c>
      <c r="H20" s="8">
        <v>45412</v>
      </c>
      <c r="I20" s="6">
        <v>481.96</v>
      </c>
      <c r="J20" s="9">
        <f t="shared" ca="1" si="0"/>
        <v>46301.6411912037</v>
      </c>
    </row>
    <row r="21" spans="1:10" x14ac:dyDescent="0.3">
      <c r="A21" s="5" t="s">
        <v>73</v>
      </c>
      <c r="B21" s="5" t="s">
        <v>74</v>
      </c>
      <c r="C21" s="5" t="s">
        <v>26</v>
      </c>
      <c r="D21" s="5" t="s">
        <v>29</v>
      </c>
      <c r="E21" s="6">
        <v>645.02</v>
      </c>
      <c r="F21" s="5">
        <v>4</v>
      </c>
      <c r="G21" s="7">
        <v>0</v>
      </c>
      <c r="H21" s="8">
        <v>45414</v>
      </c>
      <c r="I21" s="6">
        <v>161.26</v>
      </c>
      <c r="J21" s="9">
        <f t="shared" ca="1" si="0"/>
        <v>46301.6411912037</v>
      </c>
    </row>
    <row r="22" spans="1:10" x14ac:dyDescent="0.3">
      <c r="A22" s="5" t="s">
        <v>69</v>
      </c>
      <c r="B22" s="5" t="s">
        <v>89</v>
      </c>
      <c r="C22" s="5" t="s">
        <v>28</v>
      </c>
      <c r="D22" s="5" t="s">
        <v>27</v>
      </c>
      <c r="E22" s="6">
        <v>953.3</v>
      </c>
      <c r="F22" s="5">
        <v>11</v>
      </c>
      <c r="G22" s="7">
        <v>0</v>
      </c>
      <c r="H22" s="8">
        <v>45415</v>
      </c>
      <c r="I22" s="6">
        <v>476.65</v>
      </c>
      <c r="J22" s="9">
        <f t="shared" ca="1" si="0"/>
        <v>46301.6411912037</v>
      </c>
    </row>
    <row r="23" spans="1:10" x14ac:dyDescent="0.3">
      <c r="A23" s="5" t="s">
        <v>90</v>
      </c>
      <c r="B23" s="5" t="s">
        <v>63</v>
      </c>
      <c r="C23" s="5" t="s">
        <v>30</v>
      </c>
      <c r="D23" s="5" t="s">
        <v>29</v>
      </c>
      <c r="E23" s="6">
        <v>388.56</v>
      </c>
      <c r="F23" s="5">
        <v>14</v>
      </c>
      <c r="G23" s="7">
        <v>0.15</v>
      </c>
      <c r="H23" s="8">
        <v>45416</v>
      </c>
      <c r="I23" s="6">
        <v>82.57</v>
      </c>
      <c r="J23" s="9">
        <f t="shared" ca="1" si="0"/>
        <v>46301.6411912037</v>
      </c>
    </row>
    <row r="24" spans="1:10" x14ac:dyDescent="0.3">
      <c r="A24" s="5" t="s">
        <v>60</v>
      </c>
      <c r="B24" s="5" t="s">
        <v>74</v>
      </c>
      <c r="C24" s="5" t="s">
        <v>7</v>
      </c>
      <c r="D24" s="5" t="s">
        <v>8</v>
      </c>
      <c r="E24" s="6">
        <v>743.17</v>
      </c>
      <c r="F24" s="5">
        <v>9</v>
      </c>
      <c r="G24" s="7">
        <v>0</v>
      </c>
      <c r="H24" s="8">
        <v>45416</v>
      </c>
      <c r="I24" s="6">
        <v>297.27</v>
      </c>
      <c r="J24" s="9">
        <f t="shared" ca="1" si="0"/>
        <v>46301.6411912037</v>
      </c>
    </row>
    <row r="25" spans="1:10" x14ac:dyDescent="0.3">
      <c r="A25" s="5" t="s">
        <v>81</v>
      </c>
      <c r="B25" s="5" t="s">
        <v>74</v>
      </c>
      <c r="C25" s="5" t="s">
        <v>26</v>
      </c>
      <c r="D25" s="5" t="s">
        <v>29</v>
      </c>
      <c r="E25" s="6">
        <v>706.37</v>
      </c>
      <c r="F25" s="5">
        <v>6</v>
      </c>
      <c r="G25" s="7">
        <v>0</v>
      </c>
      <c r="H25" s="8">
        <v>45416</v>
      </c>
      <c r="I25" s="6">
        <v>176.59</v>
      </c>
      <c r="J25" s="9">
        <f t="shared" ca="1" si="0"/>
        <v>46301.6411912037</v>
      </c>
    </row>
    <row r="26" spans="1:10" x14ac:dyDescent="0.3">
      <c r="A26" s="5" t="s">
        <v>62</v>
      </c>
      <c r="B26" s="5" t="s">
        <v>74</v>
      </c>
      <c r="C26" s="5" t="s">
        <v>26</v>
      </c>
      <c r="D26" s="5" t="s">
        <v>33</v>
      </c>
      <c r="E26" s="6">
        <v>925.31</v>
      </c>
      <c r="F26" s="5">
        <v>8</v>
      </c>
      <c r="G26" s="7">
        <v>0.1</v>
      </c>
      <c r="H26" s="8">
        <v>45418</v>
      </c>
      <c r="I26" s="6">
        <v>374.75</v>
      </c>
      <c r="J26" s="9">
        <f t="shared" ca="1" si="0"/>
        <v>46301.6411912037</v>
      </c>
    </row>
    <row r="27" spans="1:10" x14ac:dyDescent="0.3">
      <c r="A27" s="5" t="s">
        <v>77</v>
      </c>
      <c r="B27" s="5" t="s">
        <v>91</v>
      </c>
      <c r="C27" s="5" t="s">
        <v>28</v>
      </c>
      <c r="D27" s="5" t="s">
        <v>29</v>
      </c>
      <c r="E27" s="6">
        <v>1173.1199999999999</v>
      </c>
      <c r="F27" s="5">
        <v>18</v>
      </c>
      <c r="G27" s="7">
        <v>0</v>
      </c>
      <c r="H27" s="8">
        <v>45418</v>
      </c>
      <c r="I27" s="6">
        <v>293.27999999999997</v>
      </c>
      <c r="J27" s="9">
        <f t="shared" ca="1" si="0"/>
        <v>46301.6411912037</v>
      </c>
    </row>
    <row r="28" spans="1:10" x14ac:dyDescent="0.3">
      <c r="A28" s="5" t="s">
        <v>67</v>
      </c>
      <c r="B28" s="5" t="s">
        <v>92</v>
      </c>
      <c r="C28" s="5" t="s">
        <v>30</v>
      </c>
      <c r="D28" s="5" t="s">
        <v>31</v>
      </c>
      <c r="E28" s="6">
        <v>675.54</v>
      </c>
      <c r="F28" s="5">
        <v>17</v>
      </c>
      <c r="G28" s="7">
        <v>0</v>
      </c>
      <c r="H28" s="8">
        <v>45420</v>
      </c>
      <c r="I28" s="6">
        <v>236.44</v>
      </c>
      <c r="J28" s="9">
        <f t="shared" ca="1" si="0"/>
        <v>46301.6411912037</v>
      </c>
    </row>
    <row r="29" spans="1:10" x14ac:dyDescent="0.3">
      <c r="A29" s="5" t="s">
        <v>69</v>
      </c>
      <c r="B29" s="5" t="s">
        <v>63</v>
      </c>
      <c r="C29" s="5" t="s">
        <v>26</v>
      </c>
      <c r="D29" s="5" t="s">
        <v>8</v>
      </c>
      <c r="E29" s="6">
        <v>939.09</v>
      </c>
      <c r="F29" s="5">
        <v>2</v>
      </c>
      <c r="G29" s="7">
        <v>0.05</v>
      </c>
      <c r="H29" s="8">
        <v>45422</v>
      </c>
      <c r="I29" s="6">
        <v>356.85</v>
      </c>
      <c r="J29" s="9">
        <f t="shared" ca="1" si="0"/>
        <v>46301.6411912037</v>
      </c>
    </row>
    <row r="30" spans="1:10" x14ac:dyDescent="0.3">
      <c r="A30" s="5" t="s">
        <v>93</v>
      </c>
      <c r="B30" s="5" t="s">
        <v>94</v>
      </c>
      <c r="C30" s="5" t="s">
        <v>32</v>
      </c>
      <c r="D30" s="5" t="s">
        <v>33</v>
      </c>
      <c r="E30" s="6">
        <v>983.34</v>
      </c>
      <c r="F30" s="5">
        <v>19</v>
      </c>
      <c r="G30" s="7">
        <v>0.1</v>
      </c>
      <c r="H30" s="8">
        <v>45426</v>
      </c>
      <c r="I30" s="6">
        <v>398.25</v>
      </c>
      <c r="J30" s="9">
        <f t="shared" ca="1" si="0"/>
        <v>46301.6411912037</v>
      </c>
    </row>
    <row r="31" spans="1:10" x14ac:dyDescent="0.3">
      <c r="A31" s="5" t="s">
        <v>93</v>
      </c>
      <c r="B31" s="5" t="s">
        <v>68</v>
      </c>
      <c r="C31" s="5" t="s">
        <v>28</v>
      </c>
      <c r="D31" s="5" t="s">
        <v>29</v>
      </c>
      <c r="E31" s="6">
        <v>801.21</v>
      </c>
      <c r="F31" s="5">
        <v>3</v>
      </c>
      <c r="G31" s="7">
        <v>0.2</v>
      </c>
      <c r="H31" s="8">
        <v>45426</v>
      </c>
      <c r="I31" s="6">
        <v>160.24</v>
      </c>
      <c r="J31" s="9">
        <f t="shared" ca="1" si="0"/>
        <v>46301.6411912037</v>
      </c>
    </row>
    <row r="32" spans="1:10" x14ac:dyDescent="0.3">
      <c r="A32" s="5" t="s">
        <v>95</v>
      </c>
      <c r="B32" s="5" t="s">
        <v>96</v>
      </c>
      <c r="C32" s="5" t="s">
        <v>30</v>
      </c>
      <c r="D32" s="5" t="s">
        <v>29</v>
      </c>
      <c r="E32" s="6">
        <v>1450.71</v>
      </c>
      <c r="F32" s="5">
        <v>5</v>
      </c>
      <c r="G32" s="7">
        <v>0.1</v>
      </c>
      <c r="H32" s="8">
        <v>45427</v>
      </c>
      <c r="I32" s="6">
        <v>326.41000000000003</v>
      </c>
      <c r="J32" s="9">
        <f t="shared" ca="1" si="0"/>
        <v>46301.6411912037</v>
      </c>
    </row>
    <row r="33" spans="1:10" x14ac:dyDescent="0.3">
      <c r="A33" s="5" t="s">
        <v>90</v>
      </c>
      <c r="B33" s="5" t="s">
        <v>97</v>
      </c>
      <c r="C33" s="5" t="s">
        <v>26</v>
      </c>
      <c r="D33" s="5" t="s">
        <v>8</v>
      </c>
      <c r="E33" s="6">
        <v>1023.21</v>
      </c>
      <c r="F33" s="5">
        <v>18</v>
      </c>
      <c r="G33" s="7">
        <v>0.05</v>
      </c>
      <c r="H33" s="8">
        <v>45428</v>
      </c>
      <c r="I33" s="6">
        <v>388.82</v>
      </c>
      <c r="J33" s="9">
        <f t="shared" ca="1" si="0"/>
        <v>46301.6411912037</v>
      </c>
    </row>
    <row r="34" spans="1:10" x14ac:dyDescent="0.3">
      <c r="A34" s="5" t="s">
        <v>71</v>
      </c>
      <c r="B34" s="5" t="s">
        <v>88</v>
      </c>
      <c r="C34" s="5" t="s">
        <v>7</v>
      </c>
      <c r="D34" s="5" t="s">
        <v>31</v>
      </c>
      <c r="E34" s="6">
        <v>853.72</v>
      </c>
      <c r="F34" s="5">
        <v>5</v>
      </c>
      <c r="G34" s="7">
        <v>0.15</v>
      </c>
      <c r="H34" s="8">
        <v>45428</v>
      </c>
      <c r="I34" s="6">
        <v>253.98</v>
      </c>
      <c r="J34" s="9">
        <f t="shared" ref="J34:J65" ca="1" si="1">NOW()</f>
        <v>46301.6411912037</v>
      </c>
    </row>
    <row r="35" spans="1:10" x14ac:dyDescent="0.3">
      <c r="A35" s="5" t="s">
        <v>98</v>
      </c>
      <c r="B35" s="5" t="s">
        <v>84</v>
      </c>
      <c r="C35" s="5" t="s">
        <v>28</v>
      </c>
      <c r="D35" s="5" t="s">
        <v>29</v>
      </c>
      <c r="E35" s="6">
        <v>967.89</v>
      </c>
      <c r="F35" s="5">
        <v>10</v>
      </c>
      <c r="G35" s="7">
        <v>0.1</v>
      </c>
      <c r="H35" s="8">
        <v>45429</v>
      </c>
      <c r="I35" s="6">
        <v>217.78</v>
      </c>
      <c r="J35" s="9">
        <f t="shared" ca="1" si="1"/>
        <v>46301.6411912037</v>
      </c>
    </row>
    <row r="36" spans="1:10" x14ac:dyDescent="0.3">
      <c r="A36" s="5" t="s">
        <v>99</v>
      </c>
      <c r="B36" s="5" t="s">
        <v>94</v>
      </c>
      <c r="C36" s="5" t="s">
        <v>30</v>
      </c>
      <c r="D36" s="5" t="s">
        <v>33</v>
      </c>
      <c r="E36" s="6">
        <v>1200.9000000000001</v>
      </c>
      <c r="F36" s="5">
        <v>14</v>
      </c>
      <c r="G36" s="7">
        <v>0.05</v>
      </c>
      <c r="H36" s="8">
        <v>45429</v>
      </c>
      <c r="I36" s="6">
        <v>513.38</v>
      </c>
      <c r="J36" s="9">
        <f t="shared" ca="1" si="1"/>
        <v>46301.6411912037</v>
      </c>
    </row>
    <row r="37" spans="1:10" x14ac:dyDescent="0.3">
      <c r="A37" s="5" t="s">
        <v>62</v>
      </c>
      <c r="B37" s="5" t="s">
        <v>70</v>
      </c>
      <c r="C37" s="5" t="s">
        <v>7</v>
      </c>
      <c r="D37" s="5" t="s">
        <v>8</v>
      </c>
      <c r="E37" s="6">
        <v>472.38</v>
      </c>
      <c r="F37" s="5">
        <v>12</v>
      </c>
      <c r="G37" s="7">
        <v>0.2</v>
      </c>
      <c r="H37" s="8">
        <v>45429</v>
      </c>
      <c r="I37" s="6">
        <v>151.16</v>
      </c>
      <c r="J37" s="9">
        <f t="shared" ca="1" si="1"/>
        <v>46301.6411912037</v>
      </c>
    </row>
    <row r="38" spans="1:10" x14ac:dyDescent="0.3">
      <c r="A38" s="5" t="s">
        <v>60</v>
      </c>
      <c r="B38" s="5" t="s">
        <v>96</v>
      </c>
      <c r="C38" s="5" t="s">
        <v>32</v>
      </c>
      <c r="D38" s="5" t="s">
        <v>33</v>
      </c>
      <c r="E38" s="6">
        <v>840.92</v>
      </c>
      <c r="F38" s="5">
        <v>9</v>
      </c>
      <c r="G38" s="7">
        <v>0.05</v>
      </c>
      <c r="H38" s="8">
        <v>45429</v>
      </c>
      <c r="I38" s="6">
        <v>359.49</v>
      </c>
      <c r="J38" s="9">
        <f t="shared" ca="1" si="1"/>
        <v>46301.6411912037</v>
      </c>
    </row>
    <row r="39" spans="1:10" x14ac:dyDescent="0.3">
      <c r="A39" s="5" t="s">
        <v>93</v>
      </c>
      <c r="B39" s="5" t="s">
        <v>89</v>
      </c>
      <c r="C39" s="5" t="s">
        <v>26</v>
      </c>
      <c r="D39" s="5" t="s">
        <v>31</v>
      </c>
      <c r="E39" s="6">
        <v>1410.06</v>
      </c>
      <c r="F39" s="5">
        <v>11</v>
      </c>
      <c r="G39" s="7">
        <v>0.05</v>
      </c>
      <c r="H39" s="8">
        <v>45434</v>
      </c>
      <c r="I39" s="6">
        <v>468.84</v>
      </c>
      <c r="J39" s="9">
        <f t="shared" ca="1" si="1"/>
        <v>46301.6411912037</v>
      </c>
    </row>
    <row r="40" spans="1:10" x14ac:dyDescent="0.3">
      <c r="A40" s="5" t="s">
        <v>85</v>
      </c>
      <c r="B40" s="5" t="s">
        <v>100</v>
      </c>
      <c r="C40" s="5" t="s">
        <v>26</v>
      </c>
      <c r="D40" s="5" t="s">
        <v>31</v>
      </c>
      <c r="E40" s="6">
        <v>773.09</v>
      </c>
      <c r="F40" s="5">
        <v>13</v>
      </c>
      <c r="G40" s="7">
        <v>0.15</v>
      </c>
      <c r="H40" s="8">
        <v>45434</v>
      </c>
      <c r="I40" s="6">
        <v>229.99</v>
      </c>
      <c r="J40" s="9">
        <f t="shared" ca="1" si="1"/>
        <v>46301.6411912037</v>
      </c>
    </row>
    <row r="41" spans="1:10" x14ac:dyDescent="0.3">
      <c r="A41" s="5" t="s">
        <v>101</v>
      </c>
      <c r="B41" s="5" t="s">
        <v>102</v>
      </c>
      <c r="C41" s="5" t="s">
        <v>32</v>
      </c>
      <c r="D41" s="5" t="s">
        <v>8</v>
      </c>
      <c r="E41" s="6">
        <v>580.42999999999995</v>
      </c>
      <c r="F41" s="5">
        <v>19</v>
      </c>
      <c r="G41" s="7">
        <v>0.15</v>
      </c>
      <c r="H41" s="8">
        <v>45435</v>
      </c>
      <c r="I41" s="6">
        <v>197.35</v>
      </c>
      <c r="J41" s="9">
        <f t="shared" ca="1" si="1"/>
        <v>46301.6411912037</v>
      </c>
    </row>
    <row r="42" spans="1:10" x14ac:dyDescent="0.3">
      <c r="A42" s="5" t="s">
        <v>66</v>
      </c>
      <c r="B42" s="5" t="s">
        <v>83</v>
      </c>
      <c r="C42" s="5" t="s">
        <v>28</v>
      </c>
      <c r="D42" s="5" t="s">
        <v>8</v>
      </c>
      <c r="E42" s="6">
        <v>1151.21</v>
      </c>
      <c r="F42" s="5">
        <v>15</v>
      </c>
      <c r="G42" s="7">
        <v>0.1</v>
      </c>
      <c r="H42" s="8">
        <v>45445</v>
      </c>
      <c r="I42" s="6">
        <v>414.44</v>
      </c>
      <c r="J42" s="9">
        <f t="shared" ca="1" si="1"/>
        <v>46301.6411912037</v>
      </c>
    </row>
    <row r="43" spans="1:10" x14ac:dyDescent="0.3">
      <c r="A43" s="5" t="s">
        <v>93</v>
      </c>
      <c r="B43" s="5" t="s">
        <v>68</v>
      </c>
      <c r="C43" s="5" t="s">
        <v>26</v>
      </c>
      <c r="D43" s="5" t="s">
        <v>33</v>
      </c>
      <c r="E43" s="6">
        <v>1025.98</v>
      </c>
      <c r="F43" s="5">
        <v>5</v>
      </c>
      <c r="G43" s="7">
        <v>0.2</v>
      </c>
      <c r="H43" s="8">
        <v>45447</v>
      </c>
      <c r="I43" s="6">
        <v>369.35</v>
      </c>
      <c r="J43" s="9">
        <f t="shared" ca="1" si="1"/>
        <v>46301.6411912037</v>
      </c>
    </row>
    <row r="44" spans="1:10" x14ac:dyDescent="0.3">
      <c r="A44" s="5" t="s">
        <v>81</v>
      </c>
      <c r="B44" s="5" t="s">
        <v>97</v>
      </c>
      <c r="C44" s="5" t="s">
        <v>32</v>
      </c>
      <c r="D44" s="5" t="s">
        <v>33</v>
      </c>
      <c r="E44" s="6">
        <v>556.41999999999996</v>
      </c>
      <c r="F44" s="5">
        <v>11</v>
      </c>
      <c r="G44" s="7">
        <v>0.15</v>
      </c>
      <c r="H44" s="8">
        <v>45447</v>
      </c>
      <c r="I44" s="6">
        <v>212.83</v>
      </c>
      <c r="J44" s="9">
        <f t="shared" ca="1" si="1"/>
        <v>46301.6411912037</v>
      </c>
    </row>
    <row r="45" spans="1:10" x14ac:dyDescent="0.3">
      <c r="A45" s="5" t="s">
        <v>98</v>
      </c>
      <c r="B45" s="5" t="s">
        <v>68</v>
      </c>
      <c r="C45" s="5" t="s">
        <v>26</v>
      </c>
      <c r="D45" s="5" t="s">
        <v>8</v>
      </c>
      <c r="E45" s="6">
        <v>840.85</v>
      </c>
      <c r="F45" s="5">
        <v>19</v>
      </c>
      <c r="G45" s="7">
        <v>0.1</v>
      </c>
      <c r="H45" s="8">
        <v>45448</v>
      </c>
      <c r="I45" s="6">
        <v>302.70999999999998</v>
      </c>
      <c r="J45" s="9">
        <f t="shared" ca="1" si="1"/>
        <v>46301.6411912037</v>
      </c>
    </row>
    <row r="46" spans="1:10" x14ac:dyDescent="0.3">
      <c r="A46" s="5" t="s">
        <v>73</v>
      </c>
      <c r="B46" s="5" t="s">
        <v>102</v>
      </c>
      <c r="C46" s="5" t="s">
        <v>30</v>
      </c>
      <c r="D46" s="5" t="s">
        <v>31</v>
      </c>
      <c r="E46" s="6">
        <v>1227.25</v>
      </c>
      <c r="F46" s="5">
        <v>12</v>
      </c>
      <c r="G46" s="7">
        <v>0.15</v>
      </c>
      <c r="H46" s="8">
        <v>45448</v>
      </c>
      <c r="I46" s="6">
        <v>365.11</v>
      </c>
      <c r="J46" s="9">
        <f t="shared" ca="1" si="1"/>
        <v>46301.6411912037</v>
      </c>
    </row>
    <row r="47" spans="1:10" x14ac:dyDescent="0.3">
      <c r="A47" s="5" t="s">
        <v>64</v>
      </c>
      <c r="B47" s="5" t="s">
        <v>103</v>
      </c>
      <c r="C47" s="5" t="s">
        <v>26</v>
      </c>
      <c r="D47" s="5" t="s">
        <v>29</v>
      </c>
      <c r="E47" s="6">
        <v>856.7</v>
      </c>
      <c r="F47" s="5">
        <v>2</v>
      </c>
      <c r="G47" s="7">
        <v>0</v>
      </c>
      <c r="H47" s="8">
        <v>45449</v>
      </c>
      <c r="I47" s="6">
        <v>214.18</v>
      </c>
      <c r="J47" s="9">
        <f t="shared" ca="1" si="1"/>
        <v>46301.6411912037</v>
      </c>
    </row>
    <row r="48" spans="1:10" x14ac:dyDescent="0.3">
      <c r="A48" s="5" t="s">
        <v>95</v>
      </c>
      <c r="B48" s="5" t="s">
        <v>97</v>
      </c>
      <c r="C48" s="5" t="s">
        <v>26</v>
      </c>
      <c r="D48" s="5" t="s">
        <v>33</v>
      </c>
      <c r="E48" s="6">
        <v>1225.42</v>
      </c>
      <c r="F48" s="5">
        <v>8</v>
      </c>
      <c r="G48" s="7">
        <v>0.15</v>
      </c>
      <c r="H48" s="8">
        <v>45449</v>
      </c>
      <c r="I48" s="6">
        <v>468.72</v>
      </c>
      <c r="J48" s="9">
        <f t="shared" ca="1" si="1"/>
        <v>46301.6411912037</v>
      </c>
    </row>
    <row r="49" spans="1:10" x14ac:dyDescent="0.3">
      <c r="A49" s="5" t="s">
        <v>104</v>
      </c>
      <c r="B49" s="5" t="s">
        <v>74</v>
      </c>
      <c r="C49" s="5" t="s">
        <v>30</v>
      </c>
      <c r="D49" s="5" t="s">
        <v>33</v>
      </c>
      <c r="E49" s="6">
        <v>1001.57</v>
      </c>
      <c r="F49" s="5">
        <v>12</v>
      </c>
      <c r="G49" s="7">
        <v>0</v>
      </c>
      <c r="H49" s="8">
        <v>45450</v>
      </c>
      <c r="I49" s="6">
        <v>450.71</v>
      </c>
      <c r="J49" s="9">
        <f t="shared" ca="1" si="1"/>
        <v>46301.6411912037</v>
      </c>
    </row>
    <row r="50" spans="1:10" x14ac:dyDescent="0.3">
      <c r="A50" s="5" t="s">
        <v>98</v>
      </c>
      <c r="B50" s="5" t="s">
        <v>70</v>
      </c>
      <c r="C50" s="5" t="s">
        <v>32</v>
      </c>
      <c r="D50" s="5" t="s">
        <v>31</v>
      </c>
      <c r="E50" s="6">
        <v>1186.8499999999999</v>
      </c>
      <c r="F50" s="5">
        <v>19</v>
      </c>
      <c r="G50" s="7">
        <v>0.2</v>
      </c>
      <c r="H50" s="8">
        <v>45451</v>
      </c>
      <c r="I50" s="6">
        <v>332.32</v>
      </c>
      <c r="J50" s="9">
        <f t="shared" ca="1" si="1"/>
        <v>46301.6411912037</v>
      </c>
    </row>
    <row r="51" spans="1:10" x14ac:dyDescent="0.3">
      <c r="A51" s="5" t="s">
        <v>85</v>
      </c>
      <c r="B51" s="5" t="s">
        <v>92</v>
      </c>
      <c r="C51" s="5" t="s">
        <v>28</v>
      </c>
      <c r="D51" s="5" t="s">
        <v>29</v>
      </c>
      <c r="E51" s="6">
        <v>775.45</v>
      </c>
      <c r="F51" s="5">
        <v>6</v>
      </c>
      <c r="G51" s="7">
        <v>0.1</v>
      </c>
      <c r="H51" s="8">
        <v>45457</v>
      </c>
      <c r="I51" s="6">
        <v>174.48</v>
      </c>
      <c r="J51" s="9">
        <f t="shared" ca="1" si="1"/>
        <v>46301.6411912037</v>
      </c>
    </row>
    <row r="52" spans="1:10" x14ac:dyDescent="0.3">
      <c r="A52" s="5" t="s">
        <v>69</v>
      </c>
      <c r="B52" s="5" t="s">
        <v>76</v>
      </c>
      <c r="C52" s="5" t="s">
        <v>28</v>
      </c>
      <c r="D52" s="5" t="s">
        <v>29</v>
      </c>
      <c r="E52" s="6">
        <v>1021.47</v>
      </c>
      <c r="F52" s="5">
        <v>6</v>
      </c>
      <c r="G52" s="7">
        <v>0.05</v>
      </c>
      <c r="H52" s="8">
        <v>45461</v>
      </c>
      <c r="I52" s="6">
        <v>242.6</v>
      </c>
      <c r="J52" s="9">
        <f t="shared" ca="1" si="1"/>
        <v>46301.6411912037</v>
      </c>
    </row>
    <row r="53" spans="1:10" x14ac:dyDescent="0.3">
      <c r="A53" s="5" t="s">
        <v>99</v>
      </c>
      <c r="B53" s="5" t="s">
        <v>68</v>
      </c>
      <c r="C53" s="5" t="s">
        <v>28</v>
      </c>
      <c r="D53" s="5" t="s">
        <v>27</v>
      </c>
      <c r="E53" s="6">
        <v>1226.6199999999999</v>
      </c>
      <c r="F53" s="5">
        <v>7</v>
      </c>
      <c r="G53" s="7">
        <v>0.1</v>
      </c>
      <c r="H53" s="8">
        <v>45463</v>
      </c>
      <c r="I53" s="6">
        <v>551.98</v>
      </c>
      <c r="J53" s="9">
        <f t="shared" ca="1" si="1"/>
        <v>46301.6411912037</v>
      </c>
    </row>
    <row r="54" spans="1:10" x14ac:dyDescent="0.3">
      <c r="A54" s="5" t="s">
        <v>67</v>
      </c>
      <c r="B54" s="5" t="s">
        <v>105</v>
      </c>
      <c r="C54" s="5" t="s">
        <v>28</v>
      </c>
      <c r="D54" s="5" t="s">
        <v>31</v>
      </c>
      <c r="E54" s="6">
        <v>1086.93</v>
      </c>
      <c r="F54" s="5">
        <v>2</v>
      </c>
      <c r="G54" s="7">
        <v>0</v>
      </c>
      <c r="H54" s="8">
        <v>45464</v>
      </c>
      <c r="I54" s="6">
        <v>380.43</v>
      </c>
      <c r="J54" s="9">
        <f t="shared" ca="1" si="1"/>
        <v>46301.6411912037</v>
      </c>
    </row>
    <row r="55" spans="1:10" x14ac:dyDescent="0.3">
      <c r="A55" s="5" t="s">
        <v>106</v>
      </c>
      <c r="B55" s="5" t="s">
        <v>89</v>
      </c>
      <c r="C55" s="5" t="s">
        <v>7</v>
      </c>
      <c r="D55" s="5" t="s">
        <v>8</v>
      </c>
      <c r="E55" s="6">
        <v>942.9</v>
      </c>
      <c r="F55" s="5">
        <v>18</v>
      </c>
      <c r="G55" s="7">
        <v>0.1</v>
      </c>
      <c r="H55" s="8">
        <v>45466</v>
      </c>
      <c r="I55" s="6">
        <v>339.44</v>
      </c>
      <c r="J55" s="9">
        <f t="shared" ca="1" si="1"/>
        <v>46301.6411912037</v>
      </c>
    </row>
    <row r="56" spans="1:10" x14ac:dyDescent="0.3">
      <c r="A56" s="5" t="s">
        <v>75</v>
      </c>
      <c r="B56" s="5" t="s">
        <v>80</v>
      </c>
      <c r="C56" s="5" t="s">
        <v>30</v>
      </c>
      <c r="D56" s="5" t="s">
        <v>29</v>
      </c>
      <c r="E56" s="6">
        <v>818.8</v>
      </c>
      <c r="F56" s="5">
        <v>15</v>
      </c>
      <c r="G56" s="7">
        <v>0.15</v>
      </c>
      <c r="H56" s="8">
        <v>45468</v>
      </c>
      <c r="I56" s="6">
        <v>173.99</v>
      </c>
      <c r="J56" s="9">
        <f t="shared" ca="1" si="1"/>
        <v>46301.6411912037</v>
      </c>
    </row>
    <row r="57" spans="1:10" x14ac:dyDescent="0.3">
      <c r="A57" s="5" t="s">
        <v>66</v>
      </c>
      <c r="B57" s="5" t="s">
        <v>63</v>
      </c>
      <c r="C57" s="5" t="s">
        <v>28</v>
      </c>
      <c r="D57" s="5" t="s">
        <v>31</v>
      </c>
      <c r="E57" s="6">
        <v>919.04</v>
      </c>
      <c r="F57" s="5">
        <v>10</v>
      </c>
      <c r="G57" s="7">
        <v>0.2</v>
      </c>
      <c r="H57" s="8">
        <v>45468</v>
      </c>
      <c r="I57" s="6">
        <v>257.33</v>
      </c>
      <c r="J57" s="9">
        <f t="shared" ca="1" si="1"/>
        <v>46301.6411912037</v>
      </c>
    </row>
    <row r="58" spans="1:10" x14ac:dyDescent="0.3">
      <c r="A58" s="5" t="s">
        <v>67</v>
      </c>
      <c r="B58" s="5" t="s">
        <v>107</v>
      </c>
      <c r="C58" s="5" t="s">
        <v>26</v>
      </c>
      <c r="D58" s="5" t="s">
        <v>8</v>
      </c>
      <c r="E58" s="6">
        <v>973.26</v>
      </c>
      <c r="F58" s="5">
        <v>11</v>
      </c>
      <c r="G58" s="7">
        <v>0</v>
      </c>
      <c r="H58" s="8">
        <v>45470</v>
      </c>
      <c r="I58" s="6">
        <v>389.3</v>
      </c>
      <c r="J58" s="9">
        <f t="shared" ca="1" si="1"/>
        <v>46301.6411912037</v>
      </c>
    </row>
    <row r="59" spans="1:10" x14ac:dyDescent="0.3">
      <c r="A59" s="5" t="s">
        <v>82</v>
      </c>
      <c r="B59" s="5" t="s">
        <v>105</v>
      </c>
      <c r="C59" s="5" t="s">
        <v>30</v>
      </c>
      <c r="D59" s="5" t="s">
        <v>29</v>
      </c>
      <c r="E59" s="6">
        <v>741.61</v>
      </c>
      <c r="F59" s="5">
        <v>1</v>
      </c>
      <c r="G59" s="7">
        <v>0.2</v>
      </c>
      <c r="H59" s="8">
        <v>45471</v>
      </c>
      <c r="I59" s="6">
        <v>148.32</v>
      </c>
      <c r="J59" s="9">
        <f t="shared" ca="1" si="1"/>
        <v>46301.6411912037</v>
      </c>
    </row>
    <row r="60" spans="1:10" x14ac:dyDescent="0.3">
      <c r="A60" s="5" t="s">
        <v>108</v>
      </c>
      <c r="B60" s="5" t="s">
        <v>80</v>
      </c>
      <c r="C60" s="5" t="s">
        <v>30</v>
      </c>
      <c r="D60" s="5" t="s">
        <v>8</v>
      </c>
      <c r="E60" s="6">
        <v>1248.82</v>
      </c>
      <c r="F60" s="5">
        <v>2</v>
      </c>
      <c r="G60" s="7">
        <v>0.1</v>
      </c>
      <c r="H60" s="8">
        <v>45473</v>
      </c>
      <c r="I60" s="6">
        <v>449.58</v>
      </c>
      <c r="J60" s="9">
        <f t="shared" ca="1" si="1"/>
        <v>46301.6411912037</v>
      </c>
    </row>
    <row r="61" spans="1:10" x14ac:dyDescent="0.3">
      <c r="A61" s="5" t="s">
        <v>62</v>
      </c>
      <c r="B61" s="5" t="s">
        <v>100</v>
      </c>
      <c r="C61" s="5" t="s">
        <v>7</v>
      </c>
      <c r="D61" s="5" t="s">
        <v>27</v>
      </c>
      <c r="E61" s="6">
        <v>1360.36</v>
      </c>
      <c r="F61" s="5">
        <v>17</v>
      </c>
      <c r="G61" s="7">
        <v>0</v>
      </c>
      <c r="H61" s="8">
        <v>45473</v>
      </c>
      <c r="I61" s="6">
        <v>680.18</v>
      </c>
      <c r="J61" s="9">
        <f t="shared" ca="1" si="1"/>
        <v>46301.6411912037</v>
      </c>
    </row>
    <row r="62" spans="1:10" x14ac:dyDescent="0.3">
      <c r="A62" s="5" t="s">
        <v>98</v>
      </c>
      <c r="B62" s="5" t="s">
        <v>74</v>
      </c>
      <c r="C62" s="5" t="s">
        <v>32</v>
      </c>
      <c r="D62" s="5" t="s">
        <v>8</v>
      </c>
      <c r="E62" s="6">
        <v>1383.3</v>
      </c>
      <c r="F62" s="5">
        <v>8</v>
      </c>
      <c r="G62" s="7">
        <v>0.1</v>
      </c>
      <c r="H62" s="8">
        <v>45478</v>
      </c>
      <c r="I62" s="6">
        <v>497.99</v>
      </c>
      <c r="J62" s="9">
        <f t="shared" ca="1" si="1"/>
        <v>46301.6411912037</v>
      </c>
    </row>
    <row r="63" spans="1:10" x14ac:dyDescent="0.3">
      <c r="A63" s="5" t="s">
        <v>77</v>
      </c>
      <c r="B63" s="5" t="s">
        <v>96</v>
      </c>
      <c r="C63" s="5" t="s">
        <v>26</v>
      </c>
      <c r="D63" s="5" t="s">
        <v>33</v>
      </c>
      <c r="E63" s="6">
        <v>488.99</v>
      </c>
      <c r="F63" s="5">
        <v>9</v>
      </c>
      <c r="G63" s="7">
        <v>0</v>
      </c>
      <c r="H63" s="8">
        <v>45479</v>
      </c>
      <c r="I63" s="6">
        <v>220.05</v>
      </c>
      <c r="J63" s="9">
        <f t="shared" ca="1" si="1"/>
        <v>46301.6411912037</v>
      </c>
    </row>
    <row r="64" spans="1:10" x14ac:dyDescent="0.3">
      <c r="A64" s="5" t="s">
        <v>73</v>
      </c>
      <c r="B64" s="5" t="s">
        <v>74</v>
      </c>
      <c r="C64" s="5" t="s">
        <v>32</v>
      </c>
      <c r="D64" s="5" t="s">
        <v>31</v>
      </c>
      <c r="E64" s="6">
        <v>933.71</v>
      </c>
      <c r="F64" s="5">
        <v>17</v>
      </c>
      <c r="G64" s="7">
        <v>0.1</v>
      </c>
      <c r="H64" s="8">
        <v>45481</v>
      </c>
      <c r="I64" s="6">
        <v>294.12</v>
      </c>
      <c r="J64" s="9">
        <f t="shared" ca="1" si="1"/>
        <v>46301.6411912037</v>
      </c>
    </row>
    <row r="65" spans="1:10" x14ac:dyDescent="0.3">
      <c r="A65" s="5" t="s">
        <v>108</v>
      </c>
      <c r="B65" s="5" t="s">
        <v>61</v>
      </c>
      <c r="C65" s="5" t="s">
        <v>7</v>
      </c>
      <c r="D65" s="5" t="s">
        <v>29</v>
      </c>
      <c r="E65" s="6">
        <v>1005.53</v>
      </c>
      <c r="F65" s="5">
        <v>17</v>
      </c>
      <c r="G65" s="7">
        <v>0.2</v>
      </c>
      <c r="H65" s="8">
        <v>45481</v>
      </c>
      <c r="I65" s="6">
        <v>201.11</v>
      </c>
      <c r="J65" s="9">
        <f t="shared" ca="1" si="1"/>
        <v>46301.6411912037</v>
      </c>
    </row>
    <row r="66" spans="1:10" x14ac:dyDescent="0.3">
      <c r="A66" s="5" t="s">
        <v>82</v>
      </c>
      <c r="B66" s="5" t="s">
        <v>102</v>
      </c>
      <c r="C66" s="5" t="s">
        <v>28</v>
      </c>
      <c r="D66" s="5" t="s">
        <v>29</v>
      </c>
      <c r="E66" s="6">
        <v>1100.0999999999999</v>
      </c>
      <c r="F66" s="5">
        <v>5</v>
      </c>
      <c r="G66" s="7">
        <v>0.05</v>
      </c>
      <c r="H66" s="8">
        <v>45482</v>
      </c>
      <c r="I66" s="6">
        <v>261.27</v>
      </c>
      <c r="J66" s="9">
        <f t="shared" ref="J66:J97" ca="1" si="2">NOW()</f>
        <v>46301.6411912037</v>
      </c>
    </row>
    <row r="67" spans="1:10" x14ac:dyDescent="0.3">
      <c r="A67" s="5" t="s">
        <v>108</v>
      </c>
      <c r="B67" s="5" t="s">
        <v>68</v>
      </c>
      <c r="C67" s="5" t="s">
        <v>30</v>
      </c>
      <c r="D67" s="5" t="s">
        <v>31</v>
      </c>
      <c r="E67" s="6">
        <v>1034.7</v>
      </c>
      <c r="F67" s="5">
        <v>15</v>
      </c>
      <c r="G67" s="7">
        <v>0.15</v>
      </c>
      <c r="H67" s="8">
        <v>45487</v>
      </c>
      <c r="I67" s="6">
        <v>307.82</v>
      </c>
      <c r="J67" s="9">
        <f t="shared" ca="1" si="2"/>
        <v>46301.6411912037</v>
      </c>
    </row>
    <row r="68" spans="1:10" x14ac:dyDescent="0.3">
      <c r="A68" s="5" t="s">
        <v>106</v>
      </c>
      <c r="B68" s="5" t="s">
        <v>74</v>
      </c>
      <c r="C68" s="5" t="s">
        <v>28</v>
      </c>
      <c r="D68" s="5" t="s">
        <v>8</v>
      </c>
      <c r="E68" s="6">
        <v>876.44</v>
      </c>
      <c r="F68" s="5">
        <v>12</v>
      </c>
      <c r="G68" s="7">
        <v>0.05</v>
      </c>
      <c r="H68" s="8">
        <v>45488</v>
      </c>
      <c r="I68" s="6">
        <v>333.05</v>
      </c>
      <c r="J68" s="9">
        <f t="shared" ca="1" si="2"/>
        <v>46301.6411912037</v>
      </c>
    </row>
    <row r="69" spans="1:10" x14ac:dyDescent="0.3">
      <c r="A69" s="5" t="s">
        <v>109</v>
      </c>
      <c r="B69" s="5" t="s">
        <v>96</v>
      </c>
      <c r="C69" s="5" t="s">
        <v>7</v>
      </c>
      <c r="D69" s="5" t="s">
        <v>31</v>
      </c>
      <c r="E69" s="6">
        <v>1371.34</v>
      </c>
      <c r="F69" s="5">
        <v>5</v>
      </c>
      <c r="G69" s="7">
        <v>0.05</v>
      </c>
      <c r="H69" s="8">
        <v>45488</v>
      </c>
      <c r="I69" s="6">
        <v>455.97</v>
      </c>
      <c r="J69" s="9">
        <f t="shared" ca="1" si="2"/>
        <v>46301.6411912037</v>
      </c>
    </row>
    <row r="70" spans="1:10" x14ac:dyDescent="0.3">
      <c r="A70" s="5" t="s">
        <v>98</v>
      </c>
      <c r="B70" s="5" t="s">
        <v>88</v>
      </c>
      <c r="C70" s="5" t="s">
        <v>30</v>
      </c>
      <c r="D70" s="5" t="s">
        <v>29</v>
      </c>
      <c r="E70" s="6">
        <v>1020.26</v>
      </c>
      <c r="F70" s="5">
        <v>11</v>
      </c>
      <c r="G70" s="7">
        <v>0.05</v>
      </c>
      <c r="H70" s="8">
        <v>45494</v>
      </c>
      <c r="I70" s="6">
        <v>242.31</v>
      </c>
      <c r="J70" s="9">
        <f t="shared" ca="1" si="2"/>
        <v>46301.6411912037</v>
      </c>
    </row>
    <row r="71" spans="1:10" x14ac:dyDescent="0.3">
      <c r="A71" s="5" t="s">
        <v>85</v>
      </c>
      <c r="B71" s="5" t="s">
        <v>61</v>
      </c>
      <c r="C71" s="5" t="s">
        <v>26</v>
      </c>
      <c r="D71" s="5" t="s">
        <v>33</v>
      </c>
      <c r="E71" s="6">
        <v>804.81</v>
      </c>
      <c r="F71" s="5">
        <v>1</v>
      </c>
      <c r="G71" s="7">
        <v>0.05</v>
      </c>
      <c r="H71" s="8">
        <v>45502</v>
      </c>
      <c r="I71" s="6">
        <v>344.06</v>
      </c>
      <c r="J71" s="9">
        <f t="shared" ca="1" si="2"/>
        <v>46301.6411912037</v>
      </c>
    </row>
    <row r="72" spans="1:10" x14ac:dyDescent="0.3">
      <c r="A72" s="5" t="s">
        <v>67</v>
      </c>
      <c r="B72" s="5" t="s">
        <v>96</v>
      </c>
      <c r="C72" s="5" t="s">
        <v>26</v>
      </c>
      <c r="D72" s="5" t="s">
        <v>29</v>
      </c>
      <c r="E72" s="6">
        <v>608.66</v>
      </c>
      <c r="F72" s="5">
        <v>1</v>
      </c>
      <c r="G72" s="7">
        <v>0.05</v>
      </c>
      <c r="H72" s="8">
        <v>45503</v>
      </c>
      <c r="I72" s="6">
        <v>144.56</v>
      </c>
      <c r="J72" s="9">
        <f t="shared" ca="1" si="2"/>
        <v>46301.6411912037</v>
      </c>
    </row>
    <row r="73" spans="1:10" x14ac:dyDescent="0.3">
      <c r="A73" s="5" t="s">
        <v>109</v>
      </c>
      <c r="B73" s="5" t="s">
        <v>110</v>
      </c>
      <c r="C73" s="5" t="s">
        <v>28</v>
      </c>
      <c r="D73" s="5" t="s">
        <v>33</v>
      </c>
      <c r="E73" s="6">
        <v>981.2</v>
      </c>
      <c r="F73" s="5">
        <v>19</v>
      </c>
      <c r="G73" s="7">
        <v>0</v>
      </c>
      <c r="H73" s="8">
        <v>45504</v>
      </c>
      <c r="I73" s="6">
        <v>441.54</v>
      </c>
      <c r="J73" s="9">
        <f t="shared" ca="1" si="2"/>
        <v>46301.6411912037</v>
      </c>
    </row>
    <row r="74" spans="1:10" x14ac:dyDescent="0.3">
      <c r="A74" s="5" t="s">
        <v>111</v>
      </c>
      <c r="B74" s="5" t="s">
        <v>96</v>
      </c>
      <c r="C74" s="5" t="s">
        <v>32</v>
      </c>
      <c r="D74" s="5" t="s">
        <v>29</v>
      </c>
      <c r="E74" s="6">
        <v>539.77</v>
      </c>
      <c r="F74" s="5">
        <v>10</v>
      </c>
      <c r="G74" s="7">
        <v>0.15</v>
      </c>
      <c r="H74" s="8">
        <v>45509</v>
      </c>
      <c r="I74" s="6">
        <v>114.7</v>
      </c>
      <c r="J74" s="9">
        <f t="shared" ca="1" si="2"/>
        <v>46301.6411912037</v>
      </c>
    </row>
    <row r="75" spans="1:10" x14ac:dyDescent="0.3">
      <c r="A75" s="5" t="s">
        <v>62</v>
      </c>
      <c r="B75" s="5" t="s">
        <v>112</v>
      </c>
      <c r="C75" s="5" t="s">
        <v>28</v>
      </c>
      <c r="D75" s="5" t="s">
        <v>8</v>
      </c>
      <c r="E75" s="6">
        <v>804.45</v>
      </c>
      <c r="F75" s="5">
        <v>5</v>
      </c>
      <c r="G75" s="7">
        <v>0.2</v>
      </c>
      <c r="H75" s="8">
        <v>45509</v>
      </c>
      <c r="I75" s="6">
        <v>257.42</v>
      </c>
      <c r="J75" s="9">
        <f t="shared" ca="1" si="2"/>
        <v>46301.6411912037</v>
      </c>
    </row>
    <row r="76" spans="1:10" x14ac:dyDescent="0.3">
      <c r="A76" s="5" t="s">
        <v>111</v>
      </c>
      <c r="B76" s="5" t="s">
        <v>80</v>
      </c>
      <c r="C76" s="5" t="s">
        <v>7</v>
      </c>
      <c r="D76" s="5" t="s">
        <v>29</v>
      </c>
      <c r="E76" s="6">
        <v>1526.6</v>
      </c>
      <c r="F76" s="5">
        <v>13</v>
      </c>
      <c r="G76" s="7">
        <v>0.2</v>
      </c>
      <c r="H76" s="8">
        <v>45512</v>
      </c>
      <c r="I76" s="6">
        <v>305.32</v>
      </c>
      <c r="J76" s="9">
        <f t="shared" ca="1" si="2"/>
        <v>46301.6411912037</v>
      </c>
    </row>
    <row r="77" spans="1:10" x14ac:dyDescent="0.3">
      <c r="A77" s="5" t="s">
        <v>62</v>
      </c>
      <c r="B77" s="5" t="s">
        <v>72</v>
      </c>
      <c r="C77" s="5" t="s">
        <v>7</v>
      </c>
      <c r="D77" s="5" t="s">
        <v>29</v>
      </c>
      <c r="E77" s="6">
        <v>1215.26</v>
      </c>
      <c r="F77" s="5">
        <v>5</v>
      </c>
      <c r="G77" s="7">
        <v>0.15</v>
      </c>
      <c r="H77" s="8">
        <v>45513</v>
      </c>
      <c r="I77" s="6">
        <v>258.24</v>
      </c>
      <c r="J77" s="9">
        <f t="shared" ca="1" si="2"/>
        <v>46301.6411912037</v>
      </c>
    </row>
    <row r="78" spans="1:10" x14ac:dyDescent="0.3">
      <c r="A78" s="5" t="s">
        <v>66</v>
      </c>
      <c r="B78" s="5" t="s">
        <v>94</v>
      </c>
      <c r="C78" s="5" t="s">
        <v>26</v>
      </c>
      <c r="D78" s="5" t="s">
        <v>31</v>
      </c>
      <c r="E78" s="6">
        <v>1261.3399999999999</v>
      </c>
      <c r="F78" s="5">
        <v>3</v>
      </c>
      <c r="G78" s="7">
        <v>0</v>
      </c>
      <c r="H78" s="8">
        <v>45519</v>
      </c>
      <c r="I78" s="6">
        <v>441.47</v>
      </c>
      <c r="J78" s="9">
        <f t="shared" ca="1" si="2"/>
        <v>46301.6411912037</v>
      </c>
    </row>
    <row r="79" spans="1:10" x14ac:dyDescent="0.3">
      <c r="A79" s="5" t="s">
        <v>113</v>
      </c>
      <c r="B79" s="5" t="s">
        <v>86</v>
      </c>
      <c r="C79" s="5" t="s">
        <v>30</v>
      </c>
      <c r="D79" s="5" t="s">
        <v>31</v>
      </c>
      <c r="E79" s="6">
        <v>518.07000000000005</v>
      </c>
      <c r="F79" s="5">
        <v>7</v>
      </c>
      <c r="G79" s="7">
        <v>0.05</v>
      </c>
      <c r="H79" s="8">
        <v>45522</v>
      </c>
      <c r="I79" s="6">
        <v>172.26</v>
      </c>
      <c r="J79" s="9">
        <f t="shared" ca="1" si="2"/>
        <v>46301.6411912037</v>
      </c>
    </row>
    <row r="80" spans="1:10" x14ac:dyDescent="0.3">
      <c r="A80" s="5" t="s">
        <v>73</v>
      </c>
      <c r="B80" s="5" t="s">
        <v>72</v>
      </c>
      <c r="C80" s="5" t="s">
        <v>7</v>
      </c>
      <c r="D80" s="5" t="s">
        <v>33</v>
      </c>
      <c r="E80" s="6">
        <v>1111.3399999999999</v>
      </c>
      <c r="F80" s="5">
        <v>1</v>
      </c>
      <c r="G80" s="7">
        <v>0</v>
      </c>
      <c r="H80" s="8">
        <v>45523</v>
      </c>
      <c r="I80" s="6">
        <v>500.1</v>
      </c>
      <c r="J80" s="9">
        <f t="shared" ca="1" si="2"/>
        <v>46301.6411912037</v>
      </c>
    </row>
    <row r="81" spans="1:10" x14ac:dyDescent="0.3">
      <c r="A81" s="5" t="s">
        <v>67</v>
      </c>
      <c r="B81" s="5" t="s">
        <v>74</v>
      </c>
      <c r="C81" s="5" t="s">
        <v>32</v>
      </c>
      <c r="D81" s="5" t="s">
        <v>27</v>
      </c>
      <c r="E81" s="6">
        <v>1291.47</v>
      </c>
      <c r="F81" s="5">
        <v>18</v>
      </c>
      <c r="G81" s="7">
        <v>0.1</v>
      </c>
      <c r="H81" s="8">
        <v>45526</v>
      </c>
      <c r="I81" s="6">
        <v>581.16</v>
      </c>
      <c r="J81" s="9">
        <f t="shared" ca="1" si="2"/>
        <v>46301.6411912037</v>
      </c>
    </row>
    <row r="82" spans="1:10" x14ac:dyDescent="0.3">
      <c r="A82" s="5" t="s">
        <v>69</v>
      </c>
      <c r="B82" s="5" t="s">
        <v>96</v>
      </c>
      <c r="C82" s="5" t="s">
        <v>30</v>
      </c>
      <c r="D82" s="5" t="s">
        <v>8</v>
      </c>
      <c r="E82" s="6">
        <v>679.71</v>
      </c>
      <c r="F82" s="5">
        <v>19</v>
      </c>
      <c r="G82" s="7">
        <v>0</v>
      </c>
      <c r="H82" s="8">
        <v>45534</v>
      </c>
      <c r="I82" s="6">
        <v>271.88</v>
      </c>
      <c r="J82" s="9">
        <f t="shared" ca="1" si="2"/>
        <v>46301.6411912037</v>
      </c>
    </row>
    <row r="83" spans="1:10" x14ac:dyDescent="0.3">
      <c r="A83" s="5" t="s">
        <v>109</v>
      </c>
      <c r="B83" s="5" t="s">
        <v>76</v>
      </c>
      <c r="C83" s="5" t="s">
        <v>32</v>
      </c>
      <c r="D83" s="5" t="s">
        <v>31</v>
      </c>
      <c r="E83" s="6">
        <v>1143.69</v>
      </c>
      <c r="F83" s="5">
        <v>17</v>
      </c>
      <c r="G83" s="7">
        <v>0</v>
      </c>
      <c r="H83" s="8">
        <v>45534</v>
      </c>
      <c r="I83" s="6">
        <v>400.29</v>
      </c>
      <c r="J83" s="9">
        <f t="shared" ca="1" si="2"/>
        <v>46301.6411912037</v>
      </c>
    </row>
    <row r="84" spans="1:10" x14ac:dyDescent="0.3">
      <c r="A84" s="5" t="s">
        <v>93</v>
      </c>
      <c r="B84" s="5" t="s">
        <v>91</v>
      </c>
      <c r="C84" s="5" t="s">
        <v>26</v>
      </c>
      <c r="D84" s="5" t="s">
        <v>29</v>
      </c>
      <c r="E84" s="6">
        <v>790.08</v>
      </c>
      <c r="F84" s="5">
        <v>7</v>
      </c>
      <c r="G84" s="7">
        <v>0.1</v>
      </c>
      <c r="H84" s="8">
        <v>45536</v>
      </c>
      <c r="I84" s="6">
        <v>177.77</v>
      </c>
      <c r="J84" s="9">
        <f t="shared" ca="1" si="2"/>
        <v>46301.6411912037</v>
      </c>
    </row>
    <row r="85" spans="1:10" x14ac:dyDescent="0.3">
      <c r="A85" s="5" t="s">
        <v>66</v>
      </c>
      <c r="B85" s="5" t="s">
        <v>89</v>
      </c>
      <c r="C85" s="5" t="s">
        <v>26</v>
      </c>
      <c r="D85" s="5" t="s">
        <v>8</v>
      </c>
      <c r="E85" s="6">
        <v>1070.68</v>
      </c>
      <c r="F85" s="5">
        <v>7</v>
      </c>
      <c r="G85" s="7">
        <v>0.05</v>
      </c>
      <c r="H85" s="8">
        <v>45536</v>
      </c>
      <c r="I85" s="6">
        <v>406.86</v>
      </c>
      <c r="J85" s="9">
        <f t="shared" ca="1" si="2"/>
        <v>46301.6411912037</v>
      </c>
    </row>
    <row r="86" spans="1:10" x14ac:dyDescent="0.3">
      <c r="A86" s="5" t="s">
        <v>99</v>
      </c>
      <c r="B86" s="5" t="s">
        <v>78</v>
      </c>
      <c r="C86" s="5" t="s">
        <v>7</v>
      </c>
      <c r="D86" s="5" t="s">
        <v>27</v>
      </c>
      <c r="E86" s="6">
        <v>1168.8900000000001</v>
      </c>
      <c r="F86" s="5">
        <v>4</v>
      </c>
      <c r="G86" s="7">
        <v>0.1</v>
      </c>
      <c r="H86" s="8">
        <v>45544</v>
      </c>
      <c r="I86" s="6">
        <v>526</v>
      </c>
      <c r="J86" s="9">
        <f t="shared" ca="1" si="2"/>
        <v>46301.6411912037</v>
      </c>
    </row>
    <row r="87" spans="1:10" x14ac:dyDescent="0.3">
      <c r="A87" s="5" t="s">
        <v>108</v>
      </c>
      <c r="B87" s="5" t="s">
        <v>61</v>
      </c>
      <c r="C87" s="5" t="s">
        <v>28</v>
      </c>
      <c r="D87" s="5" t="s">
        <v>29</v>
      </c>
      <c r="E87" s="6">
        <v>1335.87</v>
      </c>
      <c r="F87" s="5">
        <v>17</v>
      </c>
      <c r="G87" s="7">
        <v>0</v>
      </c>
      <c r="H87" s="8">
        <v>45544</v>
      </c>
      <c r="I87" s="6">
        <v>333.97</v>
      </c>
      <c r="J87" s="9">
        <f t="shared" ca="1" si="2"/>
        <v>46301.6411912037</v>
      </c>
    </row>
    <row r="88" spans="1:10" x14ac:dyDescent="0.3">
      <c r="A88" s="5" t="s">
        <v>81</v>
      </c>
      <c r="B88" s="5" t="s">
        <v>96</v>
      </c>
      <c r="C88" s="5" t="s">
        <v>32</v>
      </c>
      <c r="D88" s="5" t="s">
        <v>31</v>
      </c>
      <c r="E88" s="6">
        <v>873.7</v>
      </c>
      <c r="F88" s="5">
        <v>9</v>
      </c>
      <c r="G88" s="7">
        <v>0</v>
      </c>
      <c r="H88" s="8">
        <v>45546</v>
      </c>
      <c r="I88" s="6">
        <v>305.8</v>
      </c>
      <c r="J88" s="9">
        <f t="shared" ca="1" si="2"/>
        <v>46301.6411912037</v>
      </c>
    </row>
    <row r="89" spans="1:10" x14ac:dyDescent="0.3">
      <c r="A89" s="5" t="s">
        <v>113</v>
      </c>
      <c r="B89" s="5" t="s">
        <v>105</v>
      </c>
      <c r="C89" s="5" t="s">
        <v>7</v>
      </c>
      <c r="D89" s="5" t="s">
        <v>33</v>
      </c>
      <c r="E89" s="6">
        <v>1443.98</v>
      </c>
      <c r="F89" s="5">
        <v>19</v>
      </c>
      <c r="G89" s="7">
        <v>0</v>
      </c>
      <c r="H89" s="8">
        <v>45547</v>
      </c>
      <c r="I89" s="6">
        <v>649.79</v>
      </c>
      <c r="J89" s="9">
        <f t="shared" ca="1" si="2"/>
        <v>46301.6411912037</v>
      </c>
    </row>
    <row r="90" spans="1:10" x14ac:dyDescent="0.3">
      <c r="A90" s="5" t="s">
        <v>81</v>
      </c>
      <c r="B90" s="5" t="s">
        <v>68</v>
      </c>
      <c r="C90" s="5" t="s">
        <v>32</v>
      </c>
      <c r="D90" s="5" t="s">
        <v>33</v>
      </c>
      <c r="E90" s="6">
        <v>1154.33</v>
      </c>
      <c r="F90" s="5">
        <v>11</v>
      </c>
      <c r="G90" s="7">
        <v>0.15</v>
      </c>
      <c r="H90" s="8">
        <v>45549</v>
      </c>
      <c r="I90" s="6">
        <v>441.53</v>
      </c>
      <c r="J90" s="9">
        <f t="shared" ca="1" si="2"/>
        <v>46301.6411912037</v>
      </c>
    </row>
    <row r="91" spans="1:10" x14ac:dyDescent="0.3">
      <c r="A91" s="5" t="s">
        <v>90</v>
      </c>
      <c r="B91" s="5" t="s">
        <v>91</v>
      </c>
      <c r="C91" s="5" t="s">
        <v>28</v>
      </c>
      <c r="D91" s="5" t="s">
        <v>8</v>
      </c>
      <c r="E91" s="6">
        <v>1264.49</v>
      </c>
      <c r="F91" s="5">
        <v>16</v>
      </c>
      <c r="G91" s="7">
        <v>0.05</v>
      </c>
      <c r="H91" s="8">
        <v>45549</v>
      </c>
      <c r="I91" s="6">
        <v>480.51</v>
      </c>
      <c r="J91" s="9">
        <f t="shared" ca="1" si="2"/>
        <v>46301.6411912037</v>
      </c>
    </row>
    <row r="92" spans="1:10" x14ac:dyDescent="0.3">
      <c r="A92" s="5" t="s">
        <v>69</v>
      </c>
      <c r="B92" s="5" t="s">
        <v>107</v>
      </c>
      <c r="C92" s="5" t="s">
        <v>7</v>
      </c>
      <c r="D92" s="5" t="s">
        <v>31</v>
      </c>
      <c r="E92" s="6">
        <v>1101.55</v>
      </c>
      <c r="F92" s="5">
        <v>4</v>
      </c>
      <c r="G92" s="7">
        <v>0.1</v>
      </c>
      <c r="H92" s="8">
        <v>45551</v>
      </c>
      <c r="I92" s="6">
        <v>346.99</v>
      </c>
      <c r="J92" s="9">
        <f t="shared" ca="1" si="2"/>
        <v>46301.6411912037</v>
      </c>
    </row>
    <row r="93" spans="1:10" x14ac:dyDescent="0.3">
      <c r="A93" s="5" t="s">
        <v>114</v>
      </c>
      <c r="B93" s="5" t="s">
        <v>63</v>
      </c>
      <c r="C93" s="5" t="s">
        <v>28</v>
      </c>
      <c r="D93" s="5" t="s">
        <v>31</v>
      </c>
      <c r="E93" s="6">
        <v>727.73</v>
      </c>
      <c r="F93" s="5">
        <v>1</v>
      </c>
      <c r="G93" s="7">
        <v>0.1</v>
      </c>
      <c r="H93" s="8">
        <v>45552</v>
      </c>
      <c r="I93" s="6">
        <v>229.23</v>
      </c>
      <c r="J93" s="9">
        <f t="shared" ca="1" si="2"/>
        <v>46301.6411912037</v>
      </c>
    </row>
    <row r="94" spans="1:10" x14ac:dyDescent="0.3">
      <c r="A94" s="5" t="s">
        <v>115</v>
      </c>
      <c r="B94" s="5" t="s">
        <v>80</v>
      </c>
      <c r="C94" s="5" t="s">
        <v>32</v>
      </c>
      <c r="D94" s="5" t="s">
        <v>33</v>
      </c>
      <c r="E94" s="6">
        <v>875.41</v>
      </c>
      <c r="F94" s="5">
        <v>13</v>
      </c>
      <c r="G94" s="7">
        <v>0.15</v>
      </c>
      <c r="H94" s="8">
        <v>45552</v>
      </c>
      <c r="I94" s="6">
        <v>334.84</v>
      </c>
      <c r="J94" s="9">
        <f t="shared" ca="1" si="2"/>
        <v>46301.6411912037</v>
      </c>
    </row>
    <row r="95" spans="1:10" x14ac:dyDescent="0.3">
      <c r="A95" s="5" t="s">
        <v>108</v>
      </c>
      <c r="B95" s="5" t="s">
        <v>68</v>
      </c>
      <c r="C95" s="5" t="s">
        <v>7</v>
      </c>
      <c r="D95" s="5" t="s">
        <v>29</v>
      </c>
      <c r="E95" s="6">
        <v>1158.94</v>
      </c>
      <c r="F95" s="5">
        <v>19</v>
      </c>
      <c r="G95" s="7">
        <v>0.2</v>
      </c>
      <c r="H95" s="8">
        <v>45553</v>
      </c>
      <c r="I95" s="6">
        <v>231.79</v>
      </c>
      <c r="J95" s="9">
        <f t="shared" ca="1" si="2"/>
        <v>46301.6411912037</v>
      </c>
    </row>
    <row r="96" spans="1:10" x14ac:dyDescent="0.3">
      <c r="A96" s="5" t="s">
        <v>116</v>
      </c>
      <c r="B96" s="5" t="s">
        <v>88</v>
      </c>
      <c r="C96" s="5" t="s">
        <v>28</v>
      </c>
      <c r="D96" s="5" t="s">
        <v>8</v>
      </c>
      <c r="E96" s="6">
        <v>966.3</v>
      </c>
      <c r="F96" s="5">
        <v>2</v>
      </c>
      <c r="G96" s="7">
        <v>0.15</v>
      </c>
      <c r="H96" s="8">
        <v>45557</v>
      </c>
      <c r="I96" s="6">
        <v>328.54</v>
      </c>
      <c r="J96" s="9">
        <f t="shared" ca="1" si="2"/>
        <v>46301.6411912037</v>
      </c>
    </row>
    <row r="97" spans="1:10" x14ac:dyDescent="0.3">
      <c r="A97" s="5" t="s">
        <v>109</v>
      </c>
      <c r="B97" s="5" t="s">
        <v>65</v>
      </c>
      <c r="C97" s="5" t="s">
        <v>28</v>
      </c>
      <c r="D97" s="5" t="s">
        <v>8</v>
      </c>
      <c r="E97" s="6">
        <v>917.48</v>
      </c>
      <c r="F97" s="5">
        <v>6</v>
      </c>
      <c r="G97" s="7">
        <v>0</v>
      </c>
      <c r="H97" s="8">
        <v>45558</v>
      </c>
      <c r="I97" s="6">
        <v>366.99</v>
      </c>
      <c r="J97" s="9">
        <f t="shared" ca="1" si="2"/>
        <v>46301.6411912037</v>
      </c>
    </row>
    <row r="98" spans="1:10" x14ac:dyDescent="0.3">
      <c r="A98" s="5" t="s">
        <v>82</v>
      </c>
      <c r="B98" s="5" t="s">
        <v>102</v>
      </c>
      <c r="C98" s="5" t="s">
        <v>7</v>
      </c>
      <c r="D98" s="5" t="s">
        <v>31</v>
      </c>
      <c r="E98" s="6">
        <v>1172.97</v>
      </c>
      <c r="F98" s="5">
        <v>7</v>
      </c>
      <c r="G98" s="7">
        <v>0.15</v>
      </c>
      <c r="H98" s="8">
        <v>45559</v>
      </c>
      <c r="I98" s="6">
        <v>348.96</v>
      </c>
      <c r="J98" s="9">
        <f t="shared" ref="J98:J129" ca="1" si="3">NOW()</f>
        <v>46301.6411912037</v>
      </c>
    </row>
    <row r="99" spans="1:10" x14ac:dyDescent="0.3">
      <c r="A99" s="5" t="s">
        <v>98</v>
      </c>
      <c r="B99" s="5" t="s">
        <v>68</v>
      </c>
      <c r="C99" s="5" t="s">
        <v>30</v>
      </c>
      <c r="D99" s="5" t="s">
        <v>27</v>
      </c>
      <c r="E99" s="6">
        <v>1205.82</v>
      </c>
      <c r="F99" s="5">
        <v>11</v>
      </c>
      <c r="G99" s="7">
        <v>0.1</v>
      </c>
      <c r="H99" s="8">
        <v>45559</v>
      </c>
      <c r="I99" s="6">
        <v>542.62</v>
      </c>
      <c r="J99" s="9">
        <f t="shared" ca="1" si="3"/>
        <v>46301.6411912037</v>
      </c>
    </row>
    <row r="100" spans="1:10" x14ac:dyDescent="0.3">
      <c r="A100" s="5" t="s">
        <v>64</v>
      </c>
      <c r="B100" s="5" t="s">
        <v>105</v>
      </c>
      <c r="C100" s="5" t="s">
        <v>7</v>
      </c>
      <c r="D100" s="5" t="s">
        <v>33</v>
      </c>
      <c r="E100" s="6">
        <v>826.93</v>
      </c>
      <c r="F100" s="5">
        <v>10</v>
      </c>
      <c r="G100" s="7">
        <v>0.2</v>
      </c>
      <c r="H100" s="8">
        <v>45564</v>
      </c>
      <c r="I100" s="6">
        <v>297.69</v>
      </c>
      <c r="J100" s="9">
        <f t="shared" ca="1" si="3"/>
        <v>46301.6411912037</v>
      </c>
    </row>
    <row r="101" spans="1:10" x14ac:dyDescent="0.3">
      <c r="A101" s="5" t="s">
        <v>108</v>
      </c>
      <c r="B101" s="5" t="s">
        <v>68</v>
      </c>
      <c r="C101" s="5" t="s">
        <v>26</v>
      </c>
      <c r="D101" s="5" t="s">
        <v>27</v>
      </c>
      <c r="E101" s="6">
        <v>902.19</v>
      </c>
      <c r="F101" s="5">
        <v>12</v>
      </c>
      <c r="G101" s="7">
        <v>0</v>
      </c>
      <c r="H101" s="8">
        <v>45564</v>
      </c>
      <c r="I101" s="6">
        <v>451.1</v>
      </c>
      <c r="J101" s="9">
        <f t="shared" ca="1" si="3"/>
        <v>46301.6411912037</v>
      </c>
    </row>
    <row r="102" spans="1:10" x14ac:dyDescent="0.3">
      <c r="A102" s="5" t="s">
        <v>115</v>
      </c>
      <c r="B102" s="5" t="s">
        <v>80</v>
      </c>
      <c r="C102" s="5" t="s">
        <v>30</v>
      </c>
      <c r="D102" s="5" t="s">
        <v>8</v>
      </c>
      <c r="E102" s="6">
        <v>585.97</v>
      </c>
      <c r="F102" s="5">
        <v>17</v>
      </c>
      <c r="G102" s="7">
        <v>0.1</v>
      </c>
      <c r="H102" s="8">
        <v>45565</v>
      </c>
      <c r="I102" s="6">
        <v>210.95</v>
      </c>
      <c r="J102" s="9">
        <f t="shared" ca="1" si="3"/>
        <v>46301.6411912037</v>
      </c>
    </row>
    <row r="103" spans="1:10" x14ac:dyDescent="0.3">
      <c r="A103" s="5" t="s">
        <v>101</v>
      </c>
      <c r="B103" s="5" t="s">
        <v>70</v>
      </c>
      <c r="C103" s="5" t="s">
        <v>30</v>
      </c>
      <c r="D103" s="5" t="s">
        <v>27</v>
      </c>
      <c r="E103" s="6">
        <v>990.19</v>
      </c>
      <c r="F103" s="5">
        <v>8</v>
      </c>
      <c r="G103" s="7">
        <v>0.1</v>
      </c>
      <c r="H103" s="8">
        <v>45565</v>
      </c>
      <c r="I103" s="6">
        <v>445.59</v>
      </c>
      <c r="J103" s="9">
        <f t="shared" ca="1" si="3"/>
        <v>46301.6411912037</v>
      </c>
    </row>
    <row r="104" spans="1:10" x14ac:dyDescent="0.3">
      <c r="A104" s="5" t="s">
        <v>85</v>
      </c>
      <c r="B104" s="5" t="s">
        <v>97</v>
      </c>
      <c r="C104" s="5" t="s">
        <v>26</v>
      </c>
      <c r="D104" s="5" t="s">
        <v>29</v>
      </c>
      <c r="E104" s="6">
        <v>1014.09</v>
      </c>
      <c r="F104" s="5">
        <v>13</v>
      </c>
      <c r="G104" s="7">
        <v>0.2</v>
      </c>
      <c r="H104" s="8">
        <v>45567</v>
      </c>
      <c r="I104" s="6">
        <v>202.82</v>
      </c>
      <c r="J104" s="9">
        <f t="shared" ca="1" si="3"/>
        <v>46301.6411912037</v>
      </c>
    </row>
    <row r="105" spans="1:10" x14ac:dyDescent="0.3">
      <c r="A105" s="5" t="s">
        <v>62</v>
      </c>
      <c r="B105" s="5" t="s">
        <v>89</v>
      </c>
      <c r="C105" s="5" t="s">
        <v>30</v>
      </c>
      <c r="D105" s="5" t="s">
        <v>29</v>
      </c>
      <c r="E105" s="6">
        <v>925.29</v>
      </c>
      <c r="F105" s="5">
        <v>17</v>
      </c>
      <c r="G105" s="7">
        <v>0</v>
      </c>
      <c r="H105" s="8">
        <v>45570</v>
      </c>
      <c r="I105" s="6">
        <v>231.32</v>
      </c>
      <c r="J105" s="9">
        <f t="shared" ca="1" si="3"/>
        <v>46301.6411912037</v>
      </c>
    </row>
    <row r="106" spans="1:10" x14ac:dyDescent="0.3">
      <c r="A106" s="5" t="s">
        <v>95</v>
      </c>
      <c r="B106" s="5" t="s">
        <v>88</v>
      </c>
      <c r="C106" s="5" t="s">
        <v>32</v>
      </c>
      <c r="D106" s="5" t="s">
        <v>31</v>
      </c>
      <c r="E106" s="6">
        <v>1286.54</v>
      </c>
      <c r="F106" s="5">
        <v>8</v>
      </c>
      <c r="G106" s="7">
        <v>0</v>
      </c>
      <c r="H106" s="8">
        <v>45575</v>
      </c>
      <c r="I106" s="6">
        <v>450.29</v>
      </c>
      <c r="J106" s="9">
        <f t="shared" ca="1" si="3"/>
        <v>46301.6411912037</v>
      </c>
    </row>
    <row r="107" spans="1:10" x14ac:dyDescent="0.3">
      <c r="A107" s="5" t="s">
        <v>79</v>
      </c>
      <c r="B107" s="5" t="s">
        <v>105</v>
      </c>
      <c r="C107" s="5" t="s">
        <v>28</v>
      </c>
      <c r="D107" s="5" t="s">
        <v>8</v>
      </c>
      <c r="E107" s="6">
        <v>961.62</v>
      </c>
      <c r="F107" s="5">
        <v>8</v>
      </c>
      <c r="G107" s="7">
        <v>0.2</v>
      </c>
      <c r="H107" s="8">
        <v>45577</v>
      </c>
      <c r="I107" s="6">
        <v>307.72000000000003</v>
      </c>
      <c r="J107" s="9">
        <f t="shared" ca="1" si="3"/>
        <v>46301.6411912037</v>
      </c>
    </row>
    <row r="108" spans="1:10" x14ac:dyDescent="0.3">
      <c r="A108" s="5" t="s">
        <v>85</v>
      </c>
      <c r="B108" s="5" t="s">
        <v>68</v>
      </c>
      <c r="C108" s="5" t="s">
        <v>32</v>
      </c>
      <c r="D108" s="5" t="s">
        <v>8</v>
      </c>
      <c r="E108" s="6">
        <v>1081.1400000000001</v>
      </c>
      <c r="F108" s="5">
        <v>19</v>
      </c>
      <c r="G108" s="7">
        <v>0.15</v>
      </c>
      <c r="H108" s="8">
        <v>45577</v>
      </c>
      <c r="I108" s="6">
        <v>367.59</v>
      </c>
      <c r="J108" s="9">
        <f t="shared" ca="1" si="3"/>
        <v>46301.6411912037</v>
      </c>
    </row>
    <row r="109" spans="1:10" x14ac:dyDescent="0.3">
      <c r="A109" s="5" t="s">
        <v>99</v>
      </c>
      <c r="B109" s="5" t="s">
        <v>68</v>
      </c>
      <c r="C109" s="5" t="s">
        <v>7</v>
      </c>
      <c r="D109" s="5" t="s">
        <v>27</v>
      </c>
      <c r="E109" s="6">
        <v>1923.66</v>
      </c>
      <c r="F109" s="5">
        <v>9</v>
      </c>
      <c r="G109" s="7">
        <v>0.2</v>
      </c>
      <c r="H109" s="8">
        <v>45580</v>
      </c>
      <c r="I109" s="6">
        <v>769.46</v>
      </c>
      <c r="J109" s="9">
        <f t="shared" ca="1" si="3"/>
        <v>46301.6411912037</v>
      </c>
    </row>
    <row r="110" spans="1:10" x14ac:dyDescent="0.3">
      <c r="A110" s="5" t="s">
        <v>95</v>
      </c>
      <c r="B110" s="5" t="s">
        <v>107</v>
      </c>
      <c r="C110" s="5" t="s">
        <v>26</v>
      </c>
      <c r="D110" s="5" t="s">
        <v>27</v>
      </c>
      <c r="E110" s="6">
        <v>728.71</v>
      </c>
      <c r="F110" s="5">
        <v>14</v>
      </c>
      <c r="G110" s="7">
        <v>0.1</v>
      </c>
      <c r="H110" s="8">
        <v>45581</v>
      </c>
      <c r="I110" s="6">
        <v>327.92</v>
      </c>
      <c r="J110" s="9">
        <f t="shared" ca="1" si="3"/>
        <v>46301.6411912037</v>
      </c>
    </row>
    <row r="111" spans="1:10" x14ac:dyDescent="0.3">
      <c r="A111" s="5" t="s">
        <v>60</v>
      </c>
      <c r="B111" s="5" t="s">
        <v>76</v>
      </c>
      <c r="C111" s="5" t="s">
        <v>26</v>
      </c>
      <c r="D111" s="5" t="s">
        <v>27</v>
      </c>
      <c r="E111" s="6">
        <v>1301.8900000000001</v>
      </c>
      <c r="F111" s="5">
        <v>7</v>
      </c>
      <c r="G111" s="7">
        <v>0.15</v>
      </c>
      <c r="H111" s="8">
        <v>45581</v>
      </c>
      <c r="I111" s="6">
        <v>553.29999999999995</v>
      </c>
      <c r="J111" s="9">
        <f t="shared" ca="1" si="3"/>
        <v>46301.6411912037</v>
      </c>
    </row>
    <row r="112" spans="1:10" x14ac:dyDescent="0.3">
      <c r="A112" s="5" t="s">
        <v>111</v>
      </c>
      <c r="B112" s="5" t="s">
        <v>107</v>
      </c>
      <c r="C112" s="5" t="s">
        <v>32</v>
      </c>
      <c r="D112" s="5" t="s">
        <v>8</v>
      </c>
      <c r="E112" s="6">
        <v>980.18</v>
      </c>
      <c r="F112" s="5">
        <v>16</v>
      </c>
      <c r="G112" s="7">
        <v>0.1</v>
      </c>
      <c r="H112" s="8">
        <v>45582</v>
      </c>
      <c r="I112" s="6">
        <v>352.86</v>
      </c>
      <c r="J112" s="9">
        <f t="shared" ca="1" si="3"/>
        <v>46301.6411912037</v>
      </c>
    </row>
    <row r="113" spans="1:10" x14ac:dyDescent="0.3">
      <c r="A113" s="5" t="s">
        <v>115</v>
      </c>
      <c r="B113" s="5" t="s">
        <v>68</v>
      </c>
      <c r="C113" s="5" t="s">
        <v>7</v>
      </c>
      <c r="D113" s="5" t="s">
        <v>27</v>
      </c>
      <c r="E113" s="6">
        <v>697.57</v>
      </c>
      <c r="F113" s="5">
        <v>17</v>
      </c>
      <c r="G113" s="7">
        <v>0.1</v>
      </c>
      <c r="H113" s="8">
        <v>45584</v>
      </c>
      <c r="I113" s="6">
        <v>313.91000000000003</v>
      </c>
      <c r="J113" s="9">
        <f t="shared" ca="1" si="3"/>
        <v>46301.6411912037</v>
      </c>
    </row>
    <row r="114" spans="1:10" x14ac:dyDescent="0.3">
      <c r="A114" s="5" t="s">
        <v>87</v>
      </c>
      <c r="B114" s="5" t="s">
        <v>112</v>
      </c>
      <c r="C114" s="5" t="s">
        <v>7</v>
      </c>
      <c r="D114" s="5" t="s">
        <v>31</v>
      </c>
      <c r="E114" s="6">
        <v>1193.6099999999999</v>
      </c>
      <c r="F114" s="5">
        <v>1</v>
      </c>
      <c r="G114" s="7">
        <v>0.15</v>
      </c>
      <c r="H114" s="8">
        <v>45584</v>
      </c>
      <c r="I114" s="6">
        <v>355.1</v>
      </c>
      <c r="J114" s="9">
        <f t="shared" ca="1" si="3"/>
        <v>46301.6411912037</v>
      </c>
    </row>
    <row r="115" spans="1:10" x14ac:dyDescent="0.3">
      <c r="A115" s="5" t="s">
        <v>75</v>
      </c>
      <c r="B115" s="5" t="s">
        <v>80</v>
      </c>
      <c r="C115" s="5" t="s">
        <v>28</v>
      </c>
      <c r="D115" s="5" t="s">
        <v>29</v>
      </c>
      <c r="E115" s="6">
        <v>771.02</v>
      </c>
      <c r="F115" s="5">
        <v>1</v>
      </c>
      <c r="G115" s="7">
        <v>0</v>
      </c>
      <c r="H115" s="8">
        <v>45585</v>
      </c>
      <c r="I115" s="6">
        <v>192.76</v>
      </c>
      <c r="J115" s="9">
        <f t="shared" ca="1" si="3"/>
        <v>46301.6411912037</v>
      </c>
    </row>
    <row r="116" spans="1:10" x14ac:dyDescent="0.3">
      <c r="A116" s="5" t="s">
        <v>108</v>
      </c>
      <c r="B116" s="5" t="s">
        <v>110</v>
      </c>
      <c r="C116" s="5" t="s">
        <v>30</v>
      </c>
      <c r="D116" s="5" t="s">
        <v>27</v>
      </c>
      <c r="E116" s="6">
        <v>661.09</v>
      </c>
      <c r="F116" s="5">
        <v>1</v>
      </c>
      <c r="G116" s="7">
        <v>0.2</v>
      </c>
      <c r="H116" s="8">
        <v>45593</v>
      </c>
      <c r="I116" s="6">
        <v>264.44</v>
      </c>
      <c r="J116" s="9">
        <f t="shared" ca="1" si="3"/>
        <v>46301.6411912037</v>
      </c>
    </row>
    <row r="117" spans="1:10" x14ac:dyDescent="0.3">
      <c r="A117" s="5" t="s">
        <v>62</v>
      </c>
      <c r="B117" s="5" t="s">
        <v>96</v>
      </c>
      <c r="C117" s="5" t="s">
        <v>7</v>
      </c>
      <c r="D117" s="5" t="s">
        <v>29</v>
      </c>
      <c r="E117" s="6">
        <v>688.83</v>
      </c>
      <c r="F117" s="5">
        <v>15</v>
      </c>
      <c r="G117" s="7">
        <v>0</v>
      </c>
      <c r="H117" s="8">
        <v>45595</v>
      </c>
      <c r="I117" s="6">
        <v>172.21</v>
      </c>
      <c r="J117" s="9">
        <f t="shared" ca="1" si="3"/>
        <v>46301.6411912037</v>
      </c>
    </row>
    <row r="118" spans="1:10" x14ac:dyDescent="0.3">
      <c r="A118" s="5" t="s">
        <v>114</v>
      </c>
      <c r="B118" s="5" t="s">
        <v>72</v>
      </c>
      <c r="C118" s="5" t="s">
        <v>26</v>
      </c>
      <c r="D118" s="5" t="s">
        <v>8</v>
      </c>
      <c r="E118" s="6">
        <v>1249.0999999999999</v>
      </c>
      <c r="F118" s="5">
        <v>4</v>
      </c>
      <c r="G118" s="7">
        <v>0.05</v>
      </c>
      <c r="H118" s="8">
        <v>45597</v>
      </c>
      <c r="I118" s="6">
        <v>474.66</v>
      </c>
      <c r="J118" s="9">
        <f t="shared" ca="1" si="3"/>
        <v>46301.6411912037</v>
      </c>
    </row>
    <row r="119" spans="1:10" x14ac:dyDescent="0.3">
      <c r="A119" s="5" t="s">
        <v>85</v>
      </c>
      <c r="B119" s="5" t="s">
        <v>68</v>
      </c>
      <c r="C119" s="5" t="s">
        <v>32</v>
      </c>
      <c r="D119" s="5" t="s">
        <v>33</v>
      </c>
      <c r="E119" s="6">
        <v>1014.22</v>
      </c>
      <c r="F119" s="5">
        <v>14</v>
      </c>
      <c r="G119" s="7">
        <v>0.05</v>
      </c>
      <c r="H119" s="8">
        <v>45599</v>
      </c>
      <c r="I119" s="6">
        <v>433.58</v>
      </c>
      <c r="J119" s="9">
        <f t="shared" ca="1" si="3"/>
        <v>46301.6411912037</v>
      </c>
    </row>
    <row r="120" spans="1:10" x14ac:dyDescent="0.3">
      <c r="A120" s="5" t="s">
        <v>95</v>
      </c>
      <c r="B120" s="5" t="s">
        <v>89</v>
      </c>
      <c r="C120" s="5" t="s">
        <v>32</v>
      </c>
      <c r="D120" s="5" t="s">
        <v>8</v>
      </c>
      <c r="E120" s="6">
        <v>1010.58</v>
      </c>
      <c r="F120" s="5">
        <v>2</v>
      </c>
      <c r="G120" s="7">
        <v>0.15</v>
      </c>
      <c r="H120" s="8">
        <v>45605</v>
      </c>
      <c r="I120" s="6">
        <v>343.6</v>
      </c>
      <c r="J120" s="9">
        <f t="shared" ca="1" si="3"/>
        <v>46301.6411912037</v>
      </c>
    </row>
    <row r="121" spans="1:10" x14ac:dyDescent="0.3">
      <c r="A121" s="5" t="s">
        <v>73</v>
      </c>
      <c r="B121" s="5" t="s">
        <v>100</v>
      </c>
      <c r="C121" s="5" t="s">
        <v>30</v>
      </c>
      <c r="D121" s="5" t="s">
        <v>31</v>
      </c>
      <c r="E121" s="6">
        <v>957.29</v>
      </c>
      <c r="F121" s="5">
        <v>4</v>
      </c>
      <c r="G121" s="7">
        <v>0.05</v>
      </c>
      <c r="H121" s="8">
        <v>45605</v>
      </c>
      <c r="I121" s="6">
        <v>318.3</v>
      </c>
      <c r="J121" s="9">
        <f t="shared" ca="1" si="3"/>
        <v>46301.6411912037</v>
      </c>
    </row>
    <row r="122" spans="1:10" x14ac:dyDescent="0.3">
      <c r="A122" s="5" t="s">
        <v>71</v>
      </c>
      <c r="B122" s="5" t="s">
        <v>86</v>
      </c>
      <c r="C122" s="5" t="s">
        <v>30</v>
      </c>
      <c r="D122" s="5" t="s">
        <v>31</v>
      </c>
      <c r="E122" s="6">
        <v>1077.92</v>
      </c>
      <c r="F122" s="5">
        <v>3</v>
      </c>
      <c r="G122" s="7">
        <v>0.05</v>
      </c>
      <c r="H122" s="8">
        <v>45608</v>
      </c>
      <c r="I122" s="6">
        <v>358.41</v>
      </c>
      <c r="J122" s="9">
        <f t="shared" ca="1" si="3"/>
        <v>46301.6411912037</v>
      </c>
    </row>
    <row r="123" spans="1:10" x14ac:dyDescent="0.3">
      <c r="A123" s="5" t="s">
        <v>93</v>
      </c>
      <c r="B123" s="5" t="s">
        <v>91</v>
      </c>
      <c r="C123" s="5" t="s">
        <v>28</v>
      </c>
      <c r="D123" s="5" t="s">
        <v>27</v>
      </c>
      <c r="E123" s="6">
        <v>1163.01</v>
      </c>
      <c r="F123" s="5">
        <v>5</v>
      </c>
      <c r="G123" s="7">
        <v>0</v>
      </c>
      <c r="H123" s="8">
        <v>45611</v>
      </c>
      <c r="I123" s="6">
        <v>581.5</v>
      </c>
      <c r="J123" s="9">
        <f t="shared" ca="1" si="3"/>
        <v>46301.6411912037</v>
      </c>
    </row>
    <row r="124" spans="1:10" x14ac:dyDescent="0.3">
      <c r="A124" s="5" t="s">
        <v>95</v>
      </c>
      <c r="B124" s="5" t="s">
        <v>86</v>
      </c>
      <c r="C124" s="5" t="s">
        <v>32</v>
      </c>
      <c r="D124" s="5" t="s">
        <v>33</v>
      </c>
      <c r="E124" s="6">
        <v>1014.56</v>
      </c>
      <c r="F124" s="5">
        <v>10</v>
      </c>
      <c r="G124" s="7">
        <v>0.1</v>
      </c>
      <c r="H124" s="8">
        <v>45612</v>
      </c>
      <c r="I124" s="6">
        <v>410.9</v>
      </c>
      <c r="J124" s="9">
        <f t="shared" ca="1" si="3"/>
        <v>46301.6411912037</v>
      </c>
    </row>
    <row r="125" spans="1:10" x14ac:dyDescent="0.3">
      <c r="A125" s="5" t="s">
        <v>60</v>
      </c>
      <c r="B125" s="5" t="s">
        <v>65</v>
      </c>
      <c r="C125" s="5" t="s">
        <v>28</v>
      </c>
      <c r="D125" s="5" t="s">
        <v>29</v>
      </c>
      <c r="E125" s="6">
        <v>718.04</v>
      </c>
      <c r="F125" s="5">
        <v>14</v>
      </c>
      <c r="G125" s="7">
        <v>0</v>
      </c>
      <c r="H125" s="8">
        <v>45613</v>
      </c>
      <c r="I125" s="6">
        <v>179.51</v>
      </c>
      <c r="J125" s="9">
        <f t="shared" ca="1" si="3"/>
        <v>46301.6411912037</v>
      </c>
    </row>
    <row r="126" spans="1:10" x14ac:dyDescent="0.3">
      <c r="A126" s="5" t="s">
        <v>113</v>
      </c>
      <c r="B126" s="5" t="s">
        <v>65</v>
      </c>
      <c r="C126" s="5" t="s">
        <v>26</v>
      </c>
      <c r="D126" s="5" t="s">
        <v>27</v>
      </c>
      <c r="E126" s="6">
        <v>1277.8499999999999</v>
      </c>
      <c r="F126" s="5">
        <v>18</v>
      </c>
      <c r="G126" s="7">
        <v>0.2</v>
      </c>
      <c r="H126" s="8">
        <v>45613</v>
      </c>
      <c r="I126" s="6">
        <v>511.14</v>
      </c>
      <c r="J126" s="9">
        <f t="shared" ca="1" si="3"/>
        <v>46301.6411912037</v>
      </c>
    </row>
    <row r="127" spans="1:10" x14ac:dyDescent="0.3">
      <c r="A127" s="5" t="s">
        <v>111</v>
      </c>
      <c r="B127" s="5" t="s">
        <v>68</v>
      </c>
      <c r="C127" s="5" t="s">
        <v>30</v>
      </c>
      <c r="D127" s="5" t="s">
        <v>29</v>
      </c>
      <c r="E127" s="6">
        <v>706.73</v>
      </c>
      <c r="F127" s="5">
        <v>1</v>
      </c>
      <c r="G127" s="7">
        <v>0.15</v>
      </c>
      <c r="H127" s="8">
        <v>45613</v>
      </c>
      <c r="I127" s="6">
        <v>150.18</v>
      </c>
      <c r="J127" s="9">
        <f t="shared" ca="1" si="3"/>
        <v>46301.6411912037</v>
      </c>
    </row>
    <row r="128" spans="1:10" x14ac:dyDescent="0.3">
      <c r="A128" s="5" t="s">
        <v>106</v>
      </c>
      <c r="B128" s="5" t="s">
        <v>91</v>
      </c>
      <c r="C128" s="5" t="s">
        <v>32</v>
      </c>
      <c r="D128" s="5" t="s">
        <v>29</v>
      </c>
      <c r="E128" s="6">
        <v>1410.59</v>
      </c>
      <c r="F128" s="5">
        <v>15</v>
      </c>
      <c r="G128" s="7">
        <v>0</v>
      </c>
      <c r="H128" s="8">
        <v>45615</v>
      </c>
      <c r="I128" s="6">
        <v>352.65</v>
      </c>
      <c r="J128" s="9">
        <f t="shared" ca="1" si="3"/>
        <v>46301.6411912037</v>
      </c>
    </row>
    <row r="129" spans="1:10" x14ac:dyDescent="0.3">
      <c r="A129" s="5" t="s">
        <v>75</v>
      </c>
      <c r="B129" s="5" t="s">
        <v>102</v>
      </c>
      <c r="C129" s="5" t="s">
        <v>28</v>
      </c>
      <c r="D129" s="5" t="s">
        <v>31</v>
      </c>
      <c r="E129" s="6">
        <v>1350.33</v>
      </c>
      <c r="F129" s="5">
        <v>10</v>
      </c>
      <c r="G129" s="7">
        <v>0</v>
      </c>
      <c r="H129" s="8">
        <v>45615</v>
      </c>
      <c r="I129" s="6">
        <v>472.62</v>
      </c>
      <c r="J129" s="9">
        <f t="shared" ca="1" si="3"/>
        <v>46301.6411912037</v>
      </c>
    </row>
    <row r="130" spans="1:10" x14ac:dyDescent="0.3">
      <c r="A130" s="5" t="s">
        <v>82</v>
      </c>
      <c r="B130" s="5" t="s">
        <v>86</v>
      </c>
      <c r="C130" s="5" t="s">
        <v>32</v>
      </c>
      <c r="D130" s="5" t="s">
        <v>29</v>
      </c>
      <c r="E130" s="6">
        <v>919.18</v>
      </c>
      <c r="F130" s="5">
        <v>4</v>
      </c>
      <c r="G130" s="7">
        <v>0.15</v>
      </c>
      <c r="H130" s="8">
        <v>45615</v>
      </c>
      <c r="I130" s="6">
        <v>195.33</v>
      </c>
      <c r="J130" s="9">
        <f t="shared" ref="J130:J161" ca="1" si="4">NOW()</f>
        <v>46301.6411912037</v>
      </c>
    </row>
    <row r="131" spans="1:10" x14ac:dyDescent="0.3">
      <c r="A131" s="5" t="s">
        <v>115</v>
      </c>
      <c r="B131" s="5" t="s">
        <v>68</v>
      </c>
      <c r="C131" s="5" t="s">
        <v>7</v>
      </c>
      <c r="D131" s="5" t="s">
        <v>29</v>
      </c>
      <c r="E131" s="6">
        <v>258.51</v>
      </c>
      <c r="F131" s="5">
        <v>19</v>
      </c>
      <c r="G131" s="7">
        <v>0</v>
      </c>
      <c r="H131" s="8">
        <v>45616</v>
      </c>
      <c r="I131" s="6">
        <v>64.63</v>
      </c>
      <c r="J131" s="9">
        <f t="shared" ca="1" si="4"/>
        <v>46301.6411912037</v>
      </c>
    </row>
    <row r="132" spans="1:10" x14ac:dyDescent="0.3">
      <c r="A132" s="5" t="s">
        <v>104</v>
      </c>
      <c r="B132" s="5" t="s">
        <v>102</v>
      </c>
      <c r="C132" s="5" t="s">
        <v>32</v>
      </c>
      <c r="D132" s="5" t="s">
        <v>8</v>
      </c>
      <c r="E132" s="6">
        <v>1213.48</v>
      </c>
      <c r="F132" s="5">
        <v>5</v>
      </c>
      <c r="G132" s="7">
        <v>0.05</v>
      </c>
      <c r="H132" s="8">
        <v>45616</v>
      </c>
      <c r="I132" s="6">
        <v>461.12</v>
      </c>
      <c r="J132" s="9">
        <f t="shared" ca="1" si="4"/>
        <v>46301.6411912037</v>
      </c>
    </row>
    <row r="133" spans="1:10" x14ac:dyDescent="0.3">
      <c r="A133" s="5" t="s">
        <v>98</v>
      </c>
      <c r="B133" s="5" t="s">
        <v>80</v>
      </c>
      <c r="C133" s="5" t="s">
        <v>26</v>
      </c>
      <c r="D133" s="5" t="s">
        <v>8</v>
      </c>
      <c r="E133" s="6">
        <v>1150.28</v>
      </c>
      <c r="F133" s="5">
        <v>8</v>
      </c>
      <c r="G133" s="7">
        <v>0.05</v>
      </c>
      <c r="H133" s="8">
        <v>45622</v>
      </c>
      <c r="I133" s="6">
        <v>437.11</v>
      </c>
      <c r="J133" s="9">
        <f t="shared" ca="1" si="4"/>
        <v>46301.6411912037</v>
      </c>
    </row>
    <row r="134" spans="1:10" x14ac:dyDescent="0.3">
      <c r="A134" s="5" t="s">
        <v>79</v>
      </c>
      <c r="B134" s="5" t="s">
        <v>112</v>
      </c>
      <c r="C134" s="5" t="s">
        <v>28</v>
      </c>
      <c r="D134" s="5" t="s">
        <v>31</v>
      </c>
      <c r="E134" s="6">
        <v>853.86</v>
      </c>
      <c r="F134" s="5">
        <v>8</v>
      </c>
      <c r="G134" s="7">
        <v>0.1</v>
      </c>
      <c r="H134" s="8">
        <v>45622</v>
      </c>
      <c r="I134" s="6">
        <v>268.97000000000003</v>
      </c>
      <c r="J134" s="9">
        <f t="shared" ca="1" si="4"/>
        <v>46301.6411912037</v>
      </c>
    </row>
    <row r="135" spans="1:10" x14ac:dyDescent="0.3">
      <c r="A135" s="5" t="s">
        <v>116</v>
      </c>
      <c r="B135" s="5" t="s">
        <v>86</v>
      </c>
      <c r="C135" s="5" t="s">
        <v>28</v>
      </c>
      <c r="D135" s="5" t="s">
        <v>29</v>
      </c>
      <c r="E135" s="6">
        <v>1061.04</v>
      </c>
      <c r="F135" s="5">
        <v>1</v>
      </c>
      <c r="G135" s="7">
        <v>0</v>
      </c>
      <c r="H135" s="8">
        <v>45624</v>
      </c>
      <c r="I135" s="6">
        <v>265.26</v>
      </c>
      <c r="J135" s="9">
        <f t="shared" ca="1" si="4"/>
        <v>46301.6411912037</v>
      </c>
    </row>
    <row r="136" spans="1:10" x14ac:dyDescent="0.3">
      <c r="A136" s="5" t="s">
        <v>71</v>
      </c>
      <c r="B136" s="5" t="s">
        <v>84</v>
      </c>
      <c r="C136" s="5" t="s">
        <v>7</v>
      </c>
      <c r="D136" s="5" t="s">
        <v>29</v>
      </c>
      <c r="E136" s="6">
        <v>894.55</v>
      </c>
      <c r="F136" s="5">
        <v>19</v>
      </c>
      <c r="G136" s="7">
        <v>0.2</v>
      </c>
      <c r="H136" s="8">
        <v>45625</v>
      </c>
      <c r="I136" s="6">
        <v>178.91</v>
      </c>
      <c r="J136" s="9">
        <f t="shared" ca="1" si="4"/>
        <v>46301.6411912037</v>
      </c>
    </row>
    <row r="137" spans="1:10" x14ac:dyDescent="0.3">
      <c r="A137" s="5" t="s">
        <v>69</v>
      </c>
      <c r="B137" s="5" t="s">
        <v>80</v>
      </c>
      <c r="C137" s="5" t="s">
        <v>30</v>
      </c>
      <c r="D137" s="5" t="s">
        <v>33</v>
      </c>
      <c r="E137" s="6">
        <v>833.91</v>
      </c>
      <c r="F137" s="5">
        <v>3</v>
      </c>
      <c r="G137" s="7">
        <v>0.05</v>
      </c>
      <c r="H137" s="8">
        <v>45626</v>
      </c>
      <c r="I137" s="6">
        <v>356.5</v>
      </c>
      <c r="J137" s="9">
        <f t="shared" ca="1" si="4"/>
        <v>46301.6411912037</v>
      </c>
    </row>
    <row r="138" spans="1:10" x14ac:dyDescent="0.3">
      <c r="A138" s="5" t="s">
        <v>99</v>
      </c>
      <c r="B138" s="5" t="s">
        <v>112</v>
      </c>
      <c r="C138" s="5" t="s">
        <v>7</v>
      </c>
      <c r="D138" s="5" t="s">
        <v>31</v>
      </c>
      <c r="E138" s="6">
        <v>820.19</v>
      </c>
      <c r="F138" s="5">
        <v>4</v>
      </c>
      <c r="G138" s="7">
        <v>0.2</v>
      </c>
      <c r="H138" s="8">
        <v>45630</v>
      </c>
      <c r="I138" s="6">
        <v>229.65</v>
      </c>
      <c r="J138" s="9">
        <f t="shared" ca="1" si="4"/>
        <v>46301.6411912037</v>
      </c>
    </row>
    <row r="139" spans="1:10" x14ac:dyDescent="0.3">
      <c r="A139" s="5" t="s">
        <v>99</v>
      </c>
      <c r="B139" s="5" t="s">
        <v>80</v>
      </c>
      <c r="C139" s="5" t="s">
        <v>26</v>
      </c>
      <c r="D139" s="5" t="s">
        <v>29</v>
      </c>
      <c r="E139" s="6">
        <v>511.74</v>
      </c>
      <c r="F139" s="5">
        <v>8</v>
      </c>
      <c r="G139" s="7">
        <v>0.05</v>
      </c>
      <c r="H139" s="8">
        <v>45631</v>
      </c>
      <c r="I139" s="6">
        <v>121.54</v>
      </c>
      <c r="J139" s="9">
        <f t="shared" ca="1" si="4"/>
        <v>46301.6411912037</v>
      </c>
    </row>
    <row r="140" spans="1:10" x14ac:dyDescent="0.3">
      <c r="A140" s="5" t="s">
        <v>106</v>
      </c>
      <c r="B140" s="5" t="s">
        <v>102</v>
      </c>
      <c r="C140" s="5" t="s">
        <v>28</v>
      </c>
      <c r="D140" s="5" t="s">
        <v>31</v>
      </c>
      <c r="E140" s="6">
        <v>806.03</v>
      </c>
      <c r="F140" s="5">
        <v>19</v>
      </c>
      <c r="G140" s="7">
        <v>0.05</v>
      </c>
      <c r="H140" s="8">
        <v>45638</v>
      </c>
      <c r="I140" s="6">
        <v>268</v>
      </c>
      <c r="J140" s="9">
        <f t="shared" ca="1" si="4"/>
        <v>46301.6411912037</v>
      </c>
    </row>
    <row r="141" spans="1:10" x14ac:dyDescent="0.3">
      <c r="A141" s="5" t="s">
        <v>71</v>
      </c>
      <c r="B141" s="5" t="s">
        <v>70</v>
      </c>
      <c r="C141" s="5" t="s">
        <v>26</v>
      </c>
      <c r="D141" s="5" t="s">
        <v>31</v>
      </c>
      <c r="E141" s="6">
        <v>1432.47</v>
      </c>
      <c r="F141" s="5">
        <v>16</v>
      </c>
      <c r="G141" s="7">
        <v>0.15</v>
      </c>
      <c r="H141" s="8">
        <v>45640</v>
      </c>
      <c r="I141" s="6">
        <v>426.16</v>
      </c>
      <c r="J141" s="9">
        <f t="shared" ca="1" si="4"/>
        <v>46301.6411912037</v>
      </c>
    </row>
    <row r="142" spans="1:10" x14ac:dyDescent="0.3">
      <c r="A142" s="5" t="s">
        <v>115</v>
      </c>
      <c r="B142" s="5" t="s">
        <v>72</v>
      </c>
      <c r="C142" s="5" t="s">
        <v>26</v>
      </c>
      <c r="D142" s="5" t="s">
        <v>29</v>
      </c>
      <c r="E142" s="6">
        <v>1488.58</v>
      </c>
      <c r="F142" s="5">
        <v>10</v>
      </c>
      <c r="G142" s="7">
        <v>0.15</v>
      </c>
      <c r="H142" s="8">
        <v>45640</v>
      </c>
      <c r="I142" s="6">
        <v>316.32</v>
      </c>
      <c r="J142" s="9">
        <f t="shared" ca="1" si="4"/>
        <v>46301.6411912037</v>
      </c>
    </row>
    <row r="143" spans="1:10" x14ac:dyDescent="0.3">
      <c r="A143" s="5" t="s">
        <v>73</v>
      </c>
      <c r="B143" s="5" t="s">
        <v>107</v>
      </c>
      <c r="C143" s="5" t="s">
        <v>32</v>
      </c>
      <c r="D143" s="5" t="s">
        <v>8</v>
      </c>
      <c r="E143" s="6">
        <v>1231.26</v>
      </c>
      <c r="F143" s="5">
        <v>9</v>
      </c>
      <c r="G143" s="7">
        <v>0</v>
      </c>
      <c r="H143" s="8">
        <v>45646</v>
      </c>
      <c r="I143" s="6">
        <v>492.5</v>
      </c>
      <c r="J143" s="9">
        <f t="shared" ca="1" si="4"/>
        <v>46301.6411912037</v>
      </c>
    </row>
    <row r="144" spans="1:10" x14ac:dyDescent="0.3">
      <c r="A144" s="5" t="s">
        <v>73</v>
      </c>
      <c r="B144" s="5" t="s">
        <v>84</v>
      </c>
      <c r="C144" s="5" t="s">
        <v>7</v>
      </c>
      <c r="D144" s="5" t="s">
        <v>29</v>
      </c>
      <c r="E144" s="6">
        <v>1161.67</v>
      </c>
      <c r="F144" s="5">
        <v>19</v>
      </c>
      <c r="G144" s="7">
        <v>0.2</v>
      </c>
      <c r="H144" s="8">
        <v>45647</v>
      </c>
      <c r="I144" s="6">
        <v>232.33</v>
      </c>
      <c r="J144" s="9">
        <f t="shared" ca="1" si="4"/>
        <v>46301.6411912037</v>
      </c>
    </row>
    <row r="145" spans="1:10" x14ac:dyDescent="0.3">
      <c r="A145" s="5" t="s">
        <v>90</v>
      </c>
      <c r="B145" s="5" t="s">
        <v>86</v>
      </c>
      <c r="C145" s="5" t="s">
        <v>26</v>
      </c>
      <c r="D145" s="5" t="s">
        <v>33</v>
      </c>
      <c r="E145" s="6">
        <v>388.23</v>
      </c>
      <c r="F145" s="5">
        <v>16</v>
      </c>
      <c r="G145" s="7">
        <v>0.05</v>
      </c>
      <c r="H145" s="8">
        <v>45650</v>
      </c>
      <c r="I145" s="6">
        <v>165.97</v>
      </c>
      <c r="J145" s="9">
        <f t="shared" ca="1" si="4"/>
        <v>46301.6411912037</v>
      </c>
    </row>
    <row r="146" spans="1:10" x14ac:dyDescent="0.3">
      <c r="A146" s="5" t="s">
        <v>113</v>
      </c>
      <c r="B146" s="5" t="s">
        <v>74</v>
      </c>
      <c r="C146" s="5" t="s">
        <v>30</v>
      </c>
      <c r="D146" s="5" t="s">
        <v>27</v>
      </c>
      <c r="E146" s="6">
        <v>1589.42</v>
      </c>
      <c r="F146" s="5">
        <v>6</v>
      </c>
      <c r="G146" s="7">
        <v>0.15</v>
      </c>
      <c r="H146" s="8">
        <v>45651</v>
      </c>
      <c r="I146" s="6">
        <v>675.5</v>
      </c>
      <c r="J146" s="9">
        <f t="shared" ca="1" si="4"/>
        <v>46301.6411912037</v>
      </c>
    </row>
    <row r="147" spans="1:10" x14ac:dyDescent="0.3">
      <c r="A147" s="5" t="s">
        <v>71</v>
      </c>
      <c r="B147" s="5" t="s">
        <v>112</v>
      </c>
      <c r="C147" s="5" t="s">
        <v>30</v>
      </c>
      <c r="D147" s="5" t="s">
        <v>27</v>
      </c>
      <c r="E147" s="6">
        <v>336.66</v>
      </c>
      <c r="F147" s="5">
        <v>13</v>
      </c>
      <c r="G147" s="7">
        <v>0.2</v>
      </c>
      <c r="H147" s="8">
        <v>45651</v>
      </c>
      <c r="I147" s="6">
        <v>134.66</v>
      </c>
      <c r="J147" s="9">
        <f t="shared" ca="1" si="4"/>
        <v>46301.6411912037</v>
      </c>
    </row>
    <row r="148" spans="1:10" x14ac:dyDescent="0.3">
      <c r="A148" s="5" t="s">
        <v>90</v>
      </c>
      <c r="B148" s="5" t="s">
        <v>68</v>
      </c>
      <c r="C148" s="5" t="s">
        <v>7</v>
      </c>
      <c r="D148" s="5" t="s">
        <v>8</v>
      </c>
      <c r="E148" s="6">
        <v>1353.79</v>
      </c>
      <c r="F148" s="5">
        <v>14</v>
      </c>
      <c r="G148" s="7">
        <v>0.1</v>
      </c>
      <c r="H148" s="8">
        <v>45656</v>
      </c>
      <c r="I148" s="6">
        <v>487.36</v>
      </c>
      <c r="J148" s="9">
        <f t="shared" ca="1" si="4"/>
        <v>46301.6411912037</v>
      </c>
    </row>
    <row r="149" spans="1:10" x14ac:dyDescent="0.3">
      <c r="A149" s="5" t="s">
        <v>104</v>
      </c>
      <c r="B149" s="5" t="s">
        <v>110</v>
      </c>
      <c r="C149" s="5" t="s">
        <v>26</v>
      </c>
      <c r="D149" s="5" t="s">
        <v>27</v>
      </c>
      <c r="E149" s="6">
        <v>662.61</v>
      </c>
      <c r="F149" s="5">
        <v>11</v>
      </c>
      <c r="G149" s="7">
        <v>0.05</v>
      </c>
      <c r="H149" s="8">
        <v>45658</v>
      </c>
      <c r="I149" s="6">
        <v>314.74</v>
      </c>
      <c r="J149" s="9">
        <f t="shared" ca="1" si="4"/>
        <v>46301.6411912037</v>
      </c>
    </row>
    <row r="150" spans="1:10" x14ac:dyDescent="0.3">
      <c r="A150" s="5" t="s">
        <v>93</v>
      </c>
      <c r="B150" s="5" t="s">
        <v>89</v>
      </c>
      <c r="C150" s="5" t="s">
        <v>30</v>
      </c>
      <c r="D150" s="5" t="s">
        <v>33</v>
      </c>
      <c r="E150" s="6">
        <v>309.42</v>
      </c>
      <c r="F150" s="5">
        <v>1</v>
      </c>
      <c r="G150" s="7">
        <v>0.2</v>
      </c>
      <c r="H150" s="8">
        <v>45658</v>
      </c>
      <c r="I150" s="6">
        <v>111.39</v>
      </c>
      <c r="J150" s="9">
        <f t="shared" ca="1" si="4"/>
        <v>46301.6411912037</v>
      </c>
    </row>
    <row r="151" spans="1:10" x14ac:dyDescent="0.3">
      <c r="A151" s="5" t="s">
        <v>104</v>
      </c>
      <c r="B151" s="5" t="s">
        <v>72</v>
      </c>
      <c r="C151" s="5" t="s">
        <v>30</v>
      </c>
      <c r="D151" s="5" t="s">
        <v>8</v>
      </c>
      <c r="E151" s="6">
        <v>884.63</v>
      </c>
      <c r="F151" s="5">
        <v>18</v>
      </c>
      <c r="G151" s="7">
        <v>0.1</v>
      </c>
      <c r="H151" s="8">
        <v>45659</v>
      </c>
      <c r="I151" s="6">
        <v>318.47000000000003</v>
      </c>
      <c r="J151" s="9">
        <f t="shared" ca="1" si="4"/>
        <v>46301.6411912037</v>
      </c>
    </row>
    <row r="152" spans="1:10" x14ac:dyDescent="0.3">
      <c r="A152" s="5" t="s">
        <v>93</v>
      </c>
      <c r="B152" s="5" t="s">
        <v>68</v>
      </c>
      <c r="C152" s="5" t="s">
        <v>26</v>
      </c>
      <c r="D152" s="5" t="s">
        <v>33</v>
      </c>
      <c r="E152" s="6">
        <v>745.05</v>
      </c>
      <c r="F152" s="5">
        <v>10</v>
      </c>
      <c r="G152" s="7">
        <v>0.1</v>
      </c>
      <c r="H152" s="8">
        <v>45660</v>
      </c>
      <c r="I152" s="6">
        <v>301.75</v>
      </c>
      <c r="J152" s="9">
        <f t="shared" ca="1" si="4"/>
        <v>46301.6411912037</v>
      </c>
    </row>
    <row r="153" spans="1:10" x14ac:dyDescent="0.3">
      <c r="A153" s="5" t="s">
        <v>101</v>
      </c>
      <c r="B153" s="5" t="s">
        <v>65</v>
      </c>
      <c r="C153" s="5" t="s">
        <v>28</v>
      </c>
      <c r="D153" s="5" t="s">
        <v>27</v>
      </c>
      <c r="E153" s="6">
        <v>870.23</v>
      </c>
      <c r="F153" s="5">
        <v>5</v>
      </c>
      <c r="G153" s="7">
        <v>0.05</v>
      </c>
      <c r="H153" s="8">
        <v>45660</v>
      </c>
      <c r="I153" s="6">
        <v>413.36</v>
      </c>
      <c r="J153" s="9">
        <f t="shared" ca="1" si="4"/>
        <v>46301.6411912037</v>
      </c>
    </row>
    <row r="154" spans="1:10" x14ac:dyDescent="0.3">
      <c r="A154" s="5" t="s">
        <v>77</v>
      </c>
      <c r="B154" s="5" t="s">
        <v>72</v>
      </c>
      <c r="C154" s="5" t="s">
        <v>7</v>
      </c>
      <c r="D154" s="5" t="s">
        <v>31</v>
      </c>
      <c r="E154" s="6">
        <v>862.19</v>
      </c>
      <c r="F154" s="5">
        <v>18</v>
      </c>
      <c r="G154" s="7">
        <v>0.05</v>
      </c>
      <c r="H154" s="8">
        <v>45663</v>
      </c>
      <c r="I154" s="6">
        <v>286.68</v>
      </c>
      <c r="J154" s="9">
        <f t="shared" ca="1" si="4"/>
        <v>46301.6411912037</v>
      </c>
    </row>
    <row r="155" spans="1:10" x14ac:dyDescent="0.3">
      <c r="A155" s="5" t="s">
        <v>114</v>
      </c>
      <c r="B155" s="5" t="s">
        <v>100</v>
      </c>
      <c r="C155" s="5" t="s">
        <v>30</v>
      </c>
      <c r="D155" s="5" t="s">
        <v>27</v>
      </c>
      <c r="E155" s="6">
        <v>1171.18</v>
      </c>
      <c r="F155" s="5">
        <v>19</v>
      </c>
      <c r="G155" s="7">
        <v>0.05</v>
      </c>
      <c r="H155" s="8">
        <v>45667</v>
      </c>
      <c r="I155" s="6">
        <v>556.30999999999995</v>
      </c>
      <c r="J155" s="9">
        <f t="shared" ca="1" si="4"/>
        <v>46301.6411912037</v>
      </c>
    </row>
    <row r="156" spans="1:10" x14ac:dyDescent="0.3">
      <c r="A156" s="5" t="s">
        <v>99</v>
      </c>
      <c r="B156" s="5" t="s">
        <v>63</v>
      </c>
      <c r="C156" s="5" t="s">
        <v>28</v>
      </c>
      <c r="D156" s="5" t="s">
        <v>31</v>
      </c>
      <c r="E156" s="6">
        <v>1054.56</v>
      </c>
      <c r="F156" s="5">
        <v>11</v>
      </c>
      <c r="G156" s="7">
        <v>0.1</v>
      </c>
      <c r="H156" s="8">
        <v>45669</v>
      </c>
      <c r="I156" s="6">
        <v>332.19</v>
      </c>
      <c r="J156" s="9">
        <f t="shared" ca="1" si="4"/>
        <v>46301.6411912037</v>
      </c>
    </row>
    <row r="157" spans="1:10" x14ac:dyDescent="0.3">
      <c r="A157" s="5" t="s">
        <v>99</v>
      </c>
      <c r="B157" s="5" t="s">
        <v>68</v>
      </c>
      <c r="C157" s="5" t="s">
        <v>30</v>
      </c>
      <c r="D157" s="5" t="s">
        <v>29</v>
      </c>
      <c r="E157" s="6">
        <v>1681.21</v>
      </c>
      <c r="F157" s="5">
        <v>5</v>
      </c>
      <c r="G157" s="7">
        <v>0.2</v>
      </c>
      <c r="H157" s="8">
        <v>45670</v>
      </c>
      <c r="I157" s="6">
        <v>336.24</v>
      </c>
      <c r="J157" s="9">
        <f t="shared" ca="1" si="4"/>
        <v>46301.6411912037</v>
      </c>
    </row>
    <row r="158" spans="1:10" x14ac:dyDescent="0.3">
      <c r="A158" s="5" t="s">
        <v>99</v>
      </c>
      <c r="B158" s="5" t="s">
        <v>78</v>
      </c>
      <c r="C158" s="5" t="s">
        <v>7</v>
      </c>
      <c r="D158" s="5" t="s">
        <v>27</v>
      </c>
      <c r="E158" s="6">
        <v>379.77</v>
      </c>
      <c r="F158" s="5">
        <v>9</v>
      </c>
      <c r="G158" s="7">
        <v>0.05</v>
      </c>
      <c r="H158" s="8">
        <v>45673</v>
      </c>
      <c r="I158" s="6">
        <v>180.39</v>
      </c>
      <c r="J158" s="9">
        <f t="shared" ca="1" si="4"/>
        <v>46301.6411912037</v>
      </c>
    </row>
    <row r="159" spans="1:10" x14ac:dyDescent="0.3">
      <c r="A159" s="5" t="s">
        <v>85</v>
      </c>
      <c r="B159" s="5" t="s">
        <v>86</v>
      </c>
      <c r="C159" s="5" t="s">
        <v>26</v>
      </c>
      <c r="D159" s="5" t="s">
        <v>27</v>
      </c>
      <c r="E159" s="6">
        <v>1076.33</v>
      </c>
      <c r="F159" s="5">
        <v>2</v>
      </c>
      <c r="G159" s="7">
        <v>0.1</v>
      </c>
      <c r="H159" s="8">
        <v>45674</v>
      </c>
      <c r="I159" s="6">
        <v>484.35</v>
      </c>
      <c r="J159" s="9">
        <f t="shared" ca="1" si="4"/>
        <v>46301.6411912037</v>
      </c>
    </row>
    <row r="160" spans="1:10" x14ac:dyDescent="0.3">
      <c r="A160" s="5" t="s">
        <v>85</v>
      </c>
      <c r="B160" s="5" t="s">
        <v>74</v>
      </c>
      <c r="C160" s="5" t="s">
        <v>26</v>
      </c>
      <c r="D160" s="5" t="s">
        <v>33</v>
      </c>
      <c r="E160" s="6">
        <v>1250.71</v>
      </c>
      <c r="F160" s="5">
        <v>7</v>
      </c>
      <c r="G160" s="7">
        <v>0</v>
      </c>
      <c r="H160" s="8">
        <v>45674</v>
      </c>
      <c r="I160" s="6">
        <v>562.82000000000005</v>
      </c>
      <c r="J160" s="9">
        <f t="shared" ca="1" si="4"/>
        <v>46301.6411912037</v>
      </c>
    </row>
    <row r="161" spans="1:10" x14ac:dyDescent="0.3">
      <c r="A161" s="5" t="s">
        <v>81</v>
      </c>
      <c r="B161" s="5" t="s">
        <v>65</v>
      </c>
      <c r="C161" s="5" t="s">
        <v>28</v>
      </c>
      <c r="D161" s="5" t="s">
        <v>27</v>
      </c>
      <c r="E161" s="6">
        <v>1118.3399999999999</v>
      </c>
      <c r="F161" s="5">
        <v>6</v>
      </c>
      <c r="G161" s="7">
        <v>0.2</v>
      </c>
      <c r="H161" s="8">
        <v>45674</v>
      </c>
      <c r="I161" s="6">
        <v>447.34</v>
      </c>
      <c r="J161" s="9">
        <f t="shared" ca="1" si="4"/>
        <v>46301.6411912037</v>
      </c>
    </row>
    <row r="162" spans="1:10" x14ac:dyDescent="0.3">
      <c r="A162" s="5" t="s">
        <v>111</v>
      </c>
      <c r="B162" s="5" t="s">
        <v>94</v>
      </c>
      <c r="C162" s="5" t="s">
        <v>30</v>
      </c>
      <c r="D162" s="5" t="s">
        <v>27</v>
      </c>
      <c r="E162" s="6">
        <v>1622.62</v>
      </c>
      <c r="F162" s="5">
        <v>12</v>
      </c>
      <c r="G162" s="7">
        <v>0.2</v>
      </c>
      <c r="H162" s="8">
        <v>45677</v>
      </c>
      <c r="I162" s="6">
        <v>649.04999999999995</v>
      </c>
      <c r="J162" s="9">
        <f t="shared" ref="J162:J193" ca="1" si="5">NOW()</f>
        <v>46301.6411912037</v>
      </c>
    </row>
    <row r="163" spans="1:10" x14ac:dyDescent="0.3">
      <c r="A163" s="5" t="s">
        <v>116</v>
      </c>
      <c r="B163" s="5" t="s">
        <v>89</v>
      </c>
      <c r="C163" s="5" t="s">
        <v>30</v>
      </c>
      <c r="D163" s="5" t="s">
        <v>8</v>
      </c>
      <c r="E163" s="6">
        <v>640.64</v>
      </c>
      <c r="F163" s="5">
        <v>11</v>
      </c>
      <c r="G163" s="7">
        <v>0.2</v>
      </c>
      <c r="H163" s="8">
        <v>45678</v>
      </c>
      <c r="I163" s="6">
        <v>205</v>
      </c>
      <c r="J163" s="9">
        <f t="shared" ca="1" si="5"/>
        <v>46301.6411912037</v>
      </c>
    </row>
    <row r="164" spans="1:10" x14ac:dyDescent="0.3">
      <c r="A164" s="5" t="s">
        <v>67</v>
      </c>
      <c r="B164" s="5" t="s">
        <v>84</v>
      </c>
      <c r="C164" s="5" t="s">
        <v>7</v>
      </c>
      <c r="D164" s="5" t="s">
        <v>27</v>
      </c>
      <c r="E164" s="6">
        <v>585.16</v>
      </c>
      <c r="F164" s="5">
        <v>17</v>
      </c>
      <c r="G164" s="7">
        <v>0.1</v>
      </c>
      <c r="H164" s="8">
        <v>45684</v>
      </c>
      <c r="I164" s="6">
        <v>263.32</v>
      </c>
      <c r="J164" s="9">
        <f t="shared" ca="1" si="5"/>
        <v>46301.6411912037</v>
      </c>
    </row>
    <row r="165" spans="1:10" x14ac:dyDescent="0.3">
      <c r="A165" s="5" t="s">
        <v>67</v>
      </c>
      <c r="B165" s="5" t="s">
        <v>74</v>
      </c>
      <c r="C165" s="5" t="s">
        <v>32</v>
      </c>
      <c r="D165" s="5" t="s">
        <v>27</v>
      </c>
      <c r="E165" s="6">
        <v>1109.98</v>
      </c>
      <c r="F165" s="5">
        <v>5</v>
      </c>
      <c r="G165" s="7">
        <v>0.2</v>
      </c>
      <c r="H165" s="8">
        <v>45690</v>
      </c>
      <c r="I165" s="6">
        <v>443.99</v>
      </c>
      <c r="J165" s="9">
        <f t="shared" ca="1" si="5"/>
        <v>46301.6411912037</v>
      </c>
    </row>
    <row r="166" spans="1:10" x14ac:dyDescent="0.3">
      <c r="A166" s="5" t="s">
        <v>99</v>
      </c>
      <c r="B166" s="5" t="s">
        <v>86</v>
      </c>
      <c r="C166" s="5" t="s">
        <v>32</v>
      </c>
      <c r="D166" s="5" t="s">
        <v>8</v>
      </c>
      <c r="E166" s="6">
        <v>1098.08</v>
      </c>
      <c r="F166" s="5">
        <v>9</v>
      </c>
      <c r="G166" s="7">
        <v>0.1</v>
      </c>
      <c r="H166" s="8">
        <v>45692</v>
      </c>
      <c r="I166" s="6">
        <v>395.31</v>
      </c>
      <c r="J166" s="9">
        <f t="shared" ca="1" si="5"/>
        <v>46301.6411912037</v>
      </c>
    </row>
    <row r="167" spans="1:10" x14ac:dyDescent="0.3">
      <c r="A167" s="5" t="s">
        <v>106</v>
      </c>
      <c r="B167" s="5" t="s">
        <v>89</v>
      </c>
      <c r="C167" s="5" t="s">
        <v>7</v>
      </c>
      <c r="D167" s="5" t="s">
        <v>33</v>
      </c>
      <c r="E167" s="6">
        <v>827.25</v>
      </c>
      <c r="F167" s="5">
        <v>7</v>
      </c>
      <c r="G167" s="7">
        <v>0.1</v>
      </c>
      <c r="H167" s="8">
        <v>45693</v>
      </c>
      <c r="I167" s="6">
        <v>335.04</v>
      </c>
      <c r="J167" s="9">
        <f t="shared" ca="1" si="5"/>
        <v>46301.6411912037</v>
      </c>
    </row>
    <row r="168" spans="1:10" x14ac:dyDescent="0.3">
      <c r="A168" s="5" t="s">
        <v>111</v>
      </c>
      <c r="B168" s="5" t="s">
        <v>72</v>
      </c>
      <c r="C168" s="5" t="s">
        <v>26</v>
      </c>
      <c r="D168" s="5" t="s">
        <v>27</v>
      </c>
      <c r="E168" s="6">
        <v>741.88</v>
      </c>
      <c r="F168" s="5">
        <v>16</v>
      </c>
      <c r="G168" s="7">
        <v>0.1</v>
      </c>
      <c r="H168" s="8">
        <v>45695</v>
      </c>
      <c r="I168" s="6">
        <v>333.85</v>
      </c>
      <c r="J168" s="9">
        <f t="shared" ca="1" si="5"/>
        <v>46301.6411912037</v>
      </c>
    </row>
    <row r="169" spans="1:10" x14ac:dyDescent="0.3">
      <c r="A169" s="5" t="s">
        <v>113</v>
      </c>
      <c r="B169" s="5" t="s">
        <v>61</v>
      </c>
      <c r="C169" s="5" t="s">
        <v>32</v>
      </c>
      <c r="D169" s="5" t="s">
        <v>33</v>
      </c>
      <c r="E169" s="6">
        <v>1311.26</v>
      </c>
      <c r="F169" s="5">
        <v>6</v>
      </c>
      <c r="G169" s="7">
        <v>0.1</v>
      </c>
      <c r="H169" s="8">
        <v>45698</v>
      </c>
      <c r="I169" s="6">
        <v>531.05999999999995</v>
      </c>
      <c r="J169" s="9">
        <f t="shared" ca="1" si="5"/>
        <v>46301.6411912037</v>
      </c>
    </row>
    <row r="170" spans="1:10" x14ac:dyDescent="0.3">
      <c r="A170" s="5" t="s">
        <v>113</v>
      </c>
      <c r="B170" s="5" t="s">
        <v>74</v>
      </c>
      <c r="C170" s="5" t="s">
        <v>28</v>
      </c>
      <c r="D170" s="5" t="s">
        <v>33</v>
      </c>
      <c r="E170" s="6">
        <v>573.32000000000005</v>
      </c>
      <c r="F170" s="5">
        <v>19</v>
      </c>
      <c r="G170" s="7">
        <v>0.1</v>
      </c>
      <c r="H170" s="8">
        <v>45703</v>
      </c>
      <c r="I170" s="6">
        <v>232.19</v>
      </c>
      <c r="J170" s="9">
        <f t="shared" ca="1" si="5"/>
        <v>46301.6411912037</v>
      </c>
    </row>
    <row r="171" spans="1:10" x14ac:dyDescent="0.3">
      <c r="A171" s="5" t="s">
        <v>93</v>
      </c>
      <c r="B171" s="5" t="s">
        <v>68</v>
      </c>
      <c r="C171" s="5" t="s">
        <v>7</v>
      </c>
      <c r="D171" s="5" t="s">
        <v>29</v>
      </c>
      <c r="E171" s="6">
        <v>1115.22</v>
      </c>
      <c r="F171" s="5">
        <v>14</v>
      </c>
      <c r="G171" s="7">
        <v>0.2</v>
      </c>
      <c r="H171" s="8">
        <v>45705</v>
      </c>
      <c r="I171" s="6">
        <v>223.04</v>
      </c>
      <c r="J171" s="9">
        <f t="shared" ca="1" si="5"/>
        <v>46301.6411912037</v>
      </c>
    </row>
    <row r="172" spans="1:10" x14ac:dyDescent="0.3">
      <c r="A172" s="5" t="s">
        <v>62</v>
      </c>
      <c r="B172" s="5" t="s">
        <v>86</v>
      </c>
      <c r="C172" s="5" t="s">
        <v>30</v>
      </c>
      <c r="D172" s="5" t="s">
        <v>27</v>
      </c>
      <c r="E172" s="6">
        <v>845.84</v>
      </c>
      <c r="F172" s="5">
        <v>4</v>
      </c>
      <c r="G172" s="7">
        <v>0</v>
      </c>
      <c r="H172" s="8">
        <v>45707</v>
      </c>
      <c r="I172" s="6">
        <v>422.92</v>
      </c>
      <c r="J172" s="9">
        <f t="shared" ca="1" si="5"/>
        <v>46301.6411912037</v>
      </c>
    </row>
    <row r="173" spans="1:10" x14ac:dyDescent="0.3">
      <c r="A173" s="5" t="s">
        <v>73</v>
      </c>
      <c r="B173" s="5" t="s">
        <v>96</v>
      </c>
      <c r="C173" s="5" t="s">
        <v>7</v>
      </c>
      <c r="D173" s="5" t="s">
        <v>29</v>
      </c>
      <c r="E173" s="6">
        <v>1029.8</v>
      </c>
      <c r="F173" s="5">
        <v>3</v>
      </c>
      <c r="G173" s="7">
        <v>0</v>
      </c>
      <c r="H173" s="8">
        <v>45708</v>
      </c>
      <c r="I173" s="6">
        <v>257.45</v>
      </c>
      <c r="J173" s="9">
        <f t="shared" ca="1" si="5"/>
        <v>46301.6411912037</v>
      </c>
    </row>
    <row r="174" spans="1:10" x14ac:dyDescent="0.3">
      <c r="A174" s="5" t="s">
        <v>75</v>
      </c>
      <c r="B174" s="5" t="s">
        <v>74</v>
      </c>
      <c r="C174" s="5" t="s">
        <v>30</v>
      </c>
      <c r="D174" s="5" t="s">
        <v>8</v>
      </c>
      <c r="E174" s="6">
        <v>1189.83</v>
      </c>
      <c r="F174" s="5">
        <v>2</v>
      </c>
      <c r="G174" s="7">
        <v>0.2</v>
      </c>
      <c r="H174" s="8">
        <v>45709</v>
      </c>
      <c r="I174" s="6">
        <v>380.75</v>
      </c>
      <c r="J174" s="9">
        <f t="shared" ca="1" si="5"/>
        <v>46301.6411912037</v>
      </c>
    </row>
    <row r="175" spans="1:10" x14ac:dyDescent="0.3">
      <c r="A175" s="5" t="s">
        <v>108</v>
      </c>
      <c r="B175" s="5" t="s">
        <v>84</v>
      </c>
      <c r="C175" s="5" t="s">
        <v>28</v>
      </c>
      <c r="D175" s="5" t="s">
        <v>8</v>
      </c>
      <c r="E175" s="6">
        <v>704.28</v>
      </c>
      <c r="F175" s="5">
        <v>15</v>
      </c>
      <c r="G175" s="7">
        <v>0.2</v>
      </c>
      <c r="H175" s="8">
        <v>45712</v>
      </c>
      <c r="I175" s="6">
        <v>225.37</v>
      </c>
      <c r="J175" s="9">
        <f t="shared" ca="1" si="5"/>
        <v>46301.6411912037</v>
      </c>
    </row>
    <row r="176" spans="1:10" x14ac:dyDescent="0.3">
      <c r="A176" s="5" t="s">
        <v>106</v>
      </c>
      <c r="B176" s="5" t="s">
        <v>88</v>
      </c>
      <c r="C176" s="5" t="s">
        <v>26</v>
      </c>
      <c r="D176" s="5" t="s">
        <v>33</v>
      </c>
      <c r="E176" s="6">
        <v>1618.22</v>
      </c>
      <c r="F176" s="5">
        <v>12</v>
      </c>
      <c r="G176" s="7">
        <v>0.2</v>
      </c>
      <c r="H176" s="8">
        <v>45712</v>
      </c>
      <c r="I176" s="6">
        <v>582.55999999999995</v>
      </c>
      <c r="J176" s="9">
        <f t="shared" ca="1" si="5"/>
        <v>46301.6411912037</v>
      </c>
    </row>
    <row r="177" spans="1:10" x14ac:dyDescent="0.3">
      <c r="A177" s="5" t="s">
        <v>114</v>
      </c>
      <c r="B177" s="5" t="s">
        <v>94</v>
      </c>
      <c r="C177" s="5" t="s">
        <v>26</v>
      </c>
      <c r="D177" s="5" t="s">
        <v>8</v>
      </c>
      <c r="E177" s="6">
        <v>1014.43</v>
      </c>
      <c r="F177" s="5">
        <v>2</v>
      </c>
      <c r="G177" s="7">
        <v>0.15</v>
      </c>
      <c r="H177" s="8">
        <v>45713</v>
      </c>
      <c r="I177" s="6">
        <v>344.91</v>
      </c>
      <c r="J177" s="9">
        <f t="shared" ca="1" si="5"/>
        <v>46301.6411912037</v>
      </c>
    </row>
    <row r="178" spans="1:10" x14ac:dyDescent="0.3">
      <c r="A178" s="5" t="s">
        <v>116</v>
      </c>
      <c r="B178" s="5" t="s">
        <v>74</v>
      </c>
      <c r="C178" s="5" t="s">
        <v>26</v>
      </c>
      <c r="D178" s="5" t="s">
        <v>27</v>
      </c>
      <c r="E178" s="6">
        <v>826.97</v>
      </c>
      <c r="F178" s="5">
        <v>18</v>
      </c>
      <c r="G178" s="7">
        <v>0.2</v>
      </c>
      <c r="H178" s="8">
        <v>45715</v>
      </c>
      <c r="I178" s="6">
        <v>330.79</v>
      </c>
      <c r="J178" s="9">
        <f t="shared" ca="1" si="5"/>
        <v>46301.6411912037</v>
      </c>
    </row>
    <row r="179" spans="1:10" x14ac:dyDescent="0.3">
      <c r="A179" s="5" t="s">
        <v>64</v>
      </c>
      <c r="B179" s="5" t="s">
        <v>74</v>
      </c>
      <c r="C179" s="5" t="s">
        <v>26</v>
      </c>
      <c r="D179" s="5" t="s">
        <v>27</v>
      </c>
      <c r="E179" s="6">
        <v>1022.23</v>
      </c>
      <c r="F179" s="5">
        <v>8</v>
      </c>
      <c r="G179" s="7">
        <v>0.1</v>
      </c>
      <c r="H179" s="8">
        <v>45717</v>
      </c>
      <c r="I179" s="6">
        <v>460</v>
      </c>
      <c r="J179" s="9">
        <f t="shared" ca="1" si="5"/>
        <v>46301.6411912037</v>
      </c>
    </row>
    <row r="180" spans="1:10" x14ac:dyDescent="0.3">
      <c r="A180" s="5" t="s">
        <v>113</v>
      </c>
      <c r="B180" s="5" t="s">
        <v>72</v>
      </c>
      <c r="C180" s="5" t="s">
        <v>32</v>
      </c>
      <c r="D180" s="5" t="s">
        <v>8</v>
      </c>
      <c r="E180" s="6">
        <v>1099.69</v>
      </c>
      <c r="F180" s="5">
        <v>6</v>
      </c>
      <c r="G180" s="7">
        <v>0</v>
      </c>
      <c r="H180" s="8">
        <v>45718</v>
      </c>
      <c r="I180" s="6">
        <v>439.88</v>
      </c>
      <c r="J180" s="9">
        <f t="shared" ca="1" si="5"/>
        <v>46301.6411912037</v>
      </c>
    </row>
    <row r="181" spans="1:10" x14ac:dyDescent="0.3">
      <c r="A181" s="5" t="s">
        <v>93</v>
      </c>
      <c r="B181" s="5" t="s">
        <v>105</v>
      </c>
      <c r="C181" s="5" t="s">
        <v>30</v>
      </c>
      <c r="D181" s="5" t="s">
        <v>8</v>
      </c>
      <c r="E181" s="6">
        <v>710.52</v>
      </c>
      <c r="F181" s="5">
        <v>8</v>
      </c>
      <c r="G181" s="7">
        <v>0.1</v>
      </c>
      <c r="H181" s="8">
        <v>45721</v>
      </c>
      <c r="I181" s="6">
        <v>255.79</v>
      </c>
      <c r="J181" s="9">
        <f t="shared" ca="1" si="5"/>
        <v>46301.6411912037</v>
      </c>
    </row>
    <row r="182" spans="1:10" x14ac:dyDescent="0.3">
      <c r="A182" s="5" t="s">
        <v>93</v>
      </c>
      <c r="B182" s="5" t="s">
        <v>100</v>
      </c>
      <c r="C182" s="5" t="s">
        <v>30</v>
      </c>
      <c r="D182" s="5" t="s">
        <v>8</v>
      </c>
      <c r="E182" s="6">
        <v>499.18</v>
      </c>
      <c r="F182" s="5">
        <v>15</v>
      </c>
      <c r="G182" s="7">
        <v>0.2</v>
      </c>
      <c r="H182" s="8">
        <v>45724</v>
      </c>
      <c r="I182" s="6">
        <v>159.74</v>
      </c>
      <c r="J182" s="9">
        <f t="shared" ca="1" si="5"/>
        <v>46301.6411912037</v>
      </c>
    </row>
    <row r="183" spans="1:10" x14ac:dyDescent="0.3">
      <c r="A183" s="5" t="s">
        <v>79</v>
      </c>
      <c r="B183" s="5" t="s">
        <v>80</v>
      </c>
      <c r="C183" s="5" t="s">
        <v>28</v>
      </c>
      <c r="D183" s="5" t="s">
        <v>8</v>
      </c>
      <c r="E183" s="6">
        <v>1064.19</v>
      </c>
      <c r="F183" s="5">
        <v>18</v>
      </c>
      <c r="G183" s="7">
        <v>0.05</v>
      </c>
      <c r="H183" s="8">
        <v>45725</v>
      </c>
      <c r="I183" s="6">
        <v>404.39</v>
      </c>
      <c r="J183" s="9">
        <f t="shared" ca="1" si="5"/>
        <v>46301.6411912037</v>
      </c>
    </row>
    <row r="184" spans="1:10" x14ac:dyDescent="0.3">
      <c r="A184" s="5" t="s">
        <v>108</v>
      </c>
      <c r="B184" s="5" t="s">
        <v>80</v>
      </c>
      <c r="C184" s="5" t="s">
        <v>32</v>
      </c>
      <c r="D184" s="5" t="s">
        <v>33</v>
      </c>
      <c r="E184" s="6">
        <v>438.76</v>
      </c>
      <c r="F184" s="5">
        <v>18</v>
      </c>
      <c r="G184" s="7">
        <v>0.05</v>
      </c>
      <c r="H184" s="8">
        <v>45726</v>
      </c>
      <c r="I184" s="6">
        <v>187.57</v>
      </c>
      <c r="J184" s="9">
        <f t="shared" ca="1" si="5"/>
        <v>46301.6411912037</v>
      </c>
    </row>
    <row r="185" spans="1:10" x14ac:dyDescent="0.3">
      <c r="A185" s="5" t="s">
        <v>82</v>
      </c>
      <c r="B185" s="5" t="s">
        <v>96</v>
      </c>
      <c r="C185" s="5" t="s">
        <v>7</v>
      </c>
      <c r="D185" s="5" t="s">
        <v>27</v>
      </c>
      <c r="E185" s="6">
        <v>864.98</v>
      </c>
      <c r="F185" s="5">
        <v>2</v>
      </c>
      <c r="G185" s="7">
        <v>0.05</v>
      </c>
      <c r="H185" s="8">
        <v>45727</v>
      </c>
      <c r="I185" s="6">
        <v>410.87</v>
      </c>
      <c r="J185" s="9">
        <f t="shared" ca="1" si="5"/>
        <v>46301.6411912037</v>
      </c>
    </row>
    <row r="186" spans="1:10" x14ac:dyDescent="0.3">
      <c r="A186" s="5" t="s">
        <v>98</v>
      </c>
      <c r="B186" s="5" t="s">
        <v>96</v>
      </c>
      <c r="C186" s="5" t="s">
        <v>7</v>
      </c>
      <c r="D186" s="5" t="s">
        <v>31</v>
      </c>
      <c r="E186" s="6">
        <v>984.93</v>
      </c>
      <c r="F186" s="5">
        <v>14</v>
      </c>
      <c r="G186" s="7">
        <v>0.2</v>
      </c>
      <c r="H186" s="8">
        <v>45733</v>
      </c>
      <c r="I186" s="6">
        <v>275.77999999999997</v>
      </c>
      <c r="J186" s="9">
        <f t="shared" ca="1" si="5"/>
        <v>46301.6411912037</v>
      </c>
    </row>
    <row r="187" spans="1:10" x14ac:dyDescent="0.3">
      <c r="A187" s="5" t="s">
        <v>69</v>
      </c>
      <c r="B187" s="5" t="s">
        <v>96</v>
      </c>
      <c r="C187" s="5" t="s">
        <v>7</v>
      </c>
      <c r="D187" s="5" t="s">
        <v>27</v>
      </c>
      <c r="E187" s="6">
        <v>1493.49</v>
      </c>
      <c r="F187" s="5">
        <v>18</v>
      </c>
      <c r="G187" s="7">
        <v>0</v>
      </c>
      <c r="H187" s="8">
        <v>45734</v>
      </c>
      <c r="I187" s="6">
        <v>746.74</v>
      </c>
      <c r="J187" s="9">
        <f t="shared" ca="1" si="5"/>
        <v>46301.6411912037</v>
      </c>
    </row>
    <row r="188" spans="1:10" x14ac:dyDescent="0.3">
      <c r="A188" s="5" t="s">
        <v>75</v>
      </c>
      <c r="B188" s="5" t="s">
        <v>94</v>
      </c>
      <c r="C188" s="5" t="s">
        <v>28</v>
      </c>
      <c r="D188" s="5" t="s">
        <v>27</v>
      </c>
      <c r="E188" s="6">
        <v>689.43</v>
      </c>
      <c r="F188" s="5">
        <v>9</v>
      </c>
      <c r="G188" s="7">
        <v>0.1</v>
      </c>
      <c r="H188" s="8">
        <v>45736</v>
      </c>
      <c r="I188" s="6">
        <v>310.24</v>
      </c>
      <c r="J188" s="9">
        <f t="shared" ca="1" si="5"/>
        <v>46301.6411912037</v>
      </c>
    </row>
    <row r="189" spans="1:10" x14ac:dyDescent="0.3">
      <c r="A189" s="5" t="s">
        <v>81</v>
      </c>
      <c r="B189" s="5" t="s">
        <v>100</v>
      </c>
      <c r="C189" s="5" t="s">
        <v>28</v>
      </c>
      <c r="D189" s="5" t="s">
        <v>27</v>
      </c>
      <c r="E189" s="6">
        <v>682.24</v>
      </c>
      <c r="F189" s="5">
        <v>1</v>
      </c>
      <c r="G189" s="7">
        <v>0</v>
      </c>
      <c r="H189" s="8">
        <v>45738</v>
      </c>
      <c r="I189" s="6">
        <v>341.12</v>
      </c>
      <c r="J189" s="9">
        <f t="shared" ca="1" si="5"/>
        <v>46301.6411912037</v>
      </c>
    </row>
    <row r="190" spans="1:10" x14ac:dyDescent="0.3">
      <c r="A190" s="5" t="s">
        <v>82</v>
      </c>
      <c r="B190" s="5" t="s">
        <v>70</v>
      </c>
      <c r="C190" s="5" t="s">
        <v>30</v>
      </c>
      <c r="D190" s="5" t="s">
        <v>29</v>
      </c>
      <c r="E190" s="6">
        <v>458.54</v>
      </c>
      <c r="F190" s="5">
        <v>15</v>
      </c>
      <c r="G190" s="7">
        <v>0.2</v>
      </c>
      <c r="H190" s="8">
        <v>45741</v>
      </c>
      <c r="I190" s="6">
        <v>91.71</v>
      </c>
      <c r="J190" s="9">
        <f t="shared" ca="1" si="5"/>
        <v>46301.6411912037</v>
      </c>
    </row>
    <row r="191" spans="1:10" x14ac:dyDescent="0.3">
      <c r="A191" s="5" t="s">
        <v>75</v>
      </c>
      <c r="B191" s="5" t="s">
        <v>70</v>
      </c>
      <c r="C191" s="5" t="s">
        <v>28</v>
      </c>
      <c r="D191" s="5" t="s">
        <v>31</v>
      </c>
      <c r="E191" s="6">
        <v>1184.25</v>
      </c>
      <c r="F191" s="5">
        <v>11</v>
      </c>
      <c r="G191" s="7">
        <v>0.2</v>
      </c>
      <c r="H191" s="8">
        <v>45742</v>
      </c>
      <c r="I191" s="6">
        <v>331.59</v>
      </c>
      <c r="J191" s="9">
        <f t="shared" ca="1" si="5"/>
        <v>46301.6411912037</v>
      </c>
    </row>
    <row r="192" spans="1:10" x14ac:dyDescent="0.3">
      <c r="A192" s="5" t="s">
        <v>69</v>
      </c>
      <c r="B192" s="5" t="s">
        <v>61</v>
      </c>
      <c r="C192" s="5" t="s">
        <v>28</v>
      </c>
      <c r="D192" s="5" t="s">
        <v>27</v>
      </c>
      <c r="E192" s="6">
        <v>762.14</v>
      </c>
      <c r="F192" s="5">
        <v>9</v>
      </c>
      <c r="G192" s="7">
        <v>0</v>
      </c>
      <c r="H192" s="8">
        <v>45743</v>
      </c>
      <c r="I192" s="6">
        <v>381.07</v>
      </c>
      <c r="J192" s="9">
        <f t="shared" ca="1" si="5"/>
        <v>46301.6411912037</v>
      </c>
    </row>
    <row r="193" spans="1:10" x14ac:dyDescent="0.3">
      <c r="A193" s="5" t="s">
        <v>67</v>
      </c>
      <c r="B193" s="5" t="s">
        <v>94</v>
      </c>
      <c r="C193" s="5" t="s">
        <v>30</v>
      </c>
      <c r="D193" s="5" t="s">
        <v>8</v>
      </c>
      <c r="E193" s="6">
        <v>750.71</v>
      </c>
      <c r="F193" s="5">
        <v>10</v>
      </c>
      <c r="G193" s="7">
        <v>0.15</v>
      </c>
      <c r="H193" s="8">
        <v>45743</v>
      </c>
      <c r="I193" s="6">
        <v>255.24</v>
      </c>
      <c r="J193" s="9">
        <f t="shared" ca="1" si="5"/>
        <v>46301.6411912037</v>
      </c>
    </row>
    <row r="194" spans="1:10" x14ac:dyDescent="0.3">
      <c r="A194" s="5" t="s">
        <v>116</v>
      </c>
      <c r="B194" s="5" t="s">
        <v>112</v>
      </c>
      <c r="C194" s="5" t="s">
        <v>26</v>
      </c>
      <c r="D194" s="5" t="s">
        <v>27</v>
      </c>
      <c r="E194" s="6">
        <v>1456.94</v>
      </c>
      <c r="F194" s="5">
        <v>14</v>
      </c>
      <c r="G194" s="7">
        <v>0.05</v>
      </c>
      <c r="H194" s="8">
        <v>45745</v>
      </c>
      <c r="I194" s="6">
        <v>692.05</v>
      </c>
      <c r="J194" s="9">
        <f t="shared" ref="J194:J201" ca="1" si="6">NOW()</f>
        <v>46301.6411912037</v>
      </c>
    </row>
    <row r="195" spans="1:10" x14ac:dyDescent="0.3">
      <c r="A195" s="5" t="s">
        <v>85</v>
      </c>
      <c r="B195" s="5" t="s">
        <v>102</v>
      </c>
      <c r="C195" s="5" t="s">
        <v>32</v>
      </c>
      <c r="D195" s="5" t="s">
        <v>31</v>
      </c>
      <c r="E195" s="6">
        <v>1093.3800000000001</v>
      </c>
      <c r="F195" s="5">
        <v>17</v>
      </c>
      <c r="G195" s="7">
        <v>0.1</v>
      </c>
      <c r="H195" s="8">
        <v>45745</v>
      </c>
      <c r="I195" s="6">
        <v>344.41</v>
      </c>
      <c r="J195" s="9">
        <f t="shared" ca="1" si="6"/>
        <v>46301.6411912037</v>
      </c>
    </row>
    <row r="196" spans="1:10" x14ac:dyDescent="0.3">
      <c r="A196" s="5" t="s">
        <v>79</v>
      </c>
      <c r="B196" s="5" t="s">
        <v>84</v>
      </c>
      <c r="C196" s="5" t="s">
        <v>7</v>
      </c>
      <c r="D196" s="5" t="s">
        <v>27</v>
      </c>
      <c r="E196" s="6">
        <v>934.27</v>
      </c>
      <c r="F196" s="5">
        <v>8</v>
      </c>
      <c r="G196" s="7">
        <v>0.15</v>
      </c>
      <c r="H196" s="8">
        <v>45746</v>
      </c>
      <c r="I196" s="6">
        <v>397.06</v>
      </c>
      <c r="J196" s="9">
        <f t="shared" ca="1" si="6"/>
        <v>46301.6411912037</v>
      </c>
    </row>
    <row r="197" spans="1:10" x14ac:dyDescent="0.3">
      <c r="A197" s="5" t="s">
        <v>111</v>
      </c>
      <c r="B197" s="5" t="s">
        <v>78</v>
      </c>
      <c r="C197" s="5" t="s">
        <v>26</v>
      </c>
      <c r="D197" s="5" t="s">
        <v>27</v>
      </c>
      <c r="E197" s="6">
        <v>1465.35</v>
      </c>
      <c r="F197" s="5">
        <v>8</v>
      </c>
      <c r="G197" s="7">
        <v>0.2</v>
      </c>
      <c r="H197" s="8">
        <v>45746</v>
      </c>
      <c r="I197" s="6">
        <v>586.14</v>
      </c>
      <c r="J197" s="9">
        <f t="shared" ca="1" si="6"/>
        <v>46301.6411912037</v>
      </c>
    </row>
    <row r="198" spans="1:10" x14ac:dyDescent="0.3">
      <c r="A198" s="5" t="s">
        <v>93</v>
      </c>
      <c r="B198" s="5" t="s">
        <v>63</v>
      </c>
      <c r="C198" s="5" t="s">
        <v>28</v>
      </c>
      <c r="D198" s="5" t="s">
        <v>33</v>
      </c>
      <c r="E198" s="6">
        <v>740.8</v>
      </c>
      <c r="F198" s="5">
        <v>3</v>
      </c>
      <c r="G198" s="7">
        <v>0</v>
      </c>
      <c r="H198" s="8">
        <v>45749</v>
      </c>
      <c r="I198" s="6">
        <v>333.36</v>
      </c>
      <c r="J198" s="9">
        <f t="shared" ca="1" si="6"/>
        <v>46301.6411912037</v>
      </c>
    </row>
    <row r="199" spans="1:10" x14ac:dyDescent="0.3">
      <c r="A199" s="5" t="s">
        <v>99</v>
      </c>
      <c r="B199" s="5" t="s">
        <v>84</v>
      </c>
      <c r="C199" s="5" t="s">
        <v>7</v>
      </c>
      <c r="D199" s="5" t="s">
        <v>33</v>
      </c>
      <c r="E199" s="6">
        <v>545.44000000000005</v>
      </c>
      <c r="F199" s="5">
        <v>17</v>
      </c>
      <c r="G199" s="7">
        <v>0</v>
      </c>
      <c r="H199" s="8">
        <v>45752</v>
      </c>
      <c r="I199" s="6">
        <v>245.45</v>
      </c>
      <c r="J199" s="9">
        <f t="shared" ca="1" si="6"/>
        <v>46301.6411912037</v>
      </c>
    </row>
    <row r="200" spans="1:10" x14ac:dyDescent="0.3">
      <c r="A200" s="5" t="s">
        <v>77</v>
      </c>
      <c r="B200" s="5" t="s">
        <v>78</v>
      </c>
      <c r="C200" s="5" t="s">
        <v>32</v>
      </c>
      <c r="D200" s="5" t="s">
        <v>8</v>
      </c>
      <c r="E200" s="6">
        <v>997.61</v>
      </c>
      <c r="F200" s="5">
        <v>8</v>
      </c>
      <c r="G200" s="7">
        <v>0.05</v>
      </c>
      <c r="H200" s="8">
        <v>45752</v>
      </c>
      <c r="I200" s="6">
        <v>379.09</v>
      </c>
      <c r="J200" s="9">
        <f t="shared" ca="1" si="6"/>
        <v>46301.6411912037</v>
      </c>
    </row>
    <row r="201" spans="1:10" x14ac:dyDescent="0.3">
      <c r="A201" s="5" t="s">
        <v>101</v>
      </c>
      <c r="B201" s="5" t="s">
        <v>78</v>
      </c>
      <c r="C201" s="5" t="s">
        <v>28</v>
      </c>
      <c r="D201" s="5" t="s">
        <v>27</v>
      </c>
      <c r="E201" s="6">
        <v>928.32</v>
      </c>
      <c r="F201" s="5">
        <v>2</v>
      </c>
      <c r="G201" s="7">
        <v>0.05</v>
      </c>
      <c r="H201" s="8">
        <v>45754</v>
      </c>
      <c r="I201" s="6">
        <v>440.95</v>
      </c>
      <c r="J201" s="9">
        <f t="shared" ca="1" si="6"/>
        <v>46301.6411912037</v>
      </c>
    </row>
  </sheetData>
  <pageMargins left="0.75" right="0.75" top="1" bottom="1" header="0.5" footer="0.5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3"/>
  <sheetViews>
    <sheetView showGridLines="0" workbookViewId="0">
      <pane ySplit="3" topLeftCell="A4" activePane="bottomLeft" state="frozen"/>
      <selection pane="bottomLeft" sqref="A1:F1"/>
    </sheetView>
  </sheetViews>
  <sheetFormatPr defaultRowHeight="14.4" x14ac:dyDescent="0.3"/>
  <cols>
    <col min="1" max="5" width="28" customWidth="1"/>
    <col min="6" max="6" width="25" customWidth="1"/>
  </cols>
  <sheetData>
    <row r="1" spans="1:6" ht="28.05" customHeight="1" x14ac:dyDescent="0.4">
      <c r="A1" s="22" t="s">
        <v>117</v>
      </c>
      <c r="B1" s="17"/>
      <c r="C1" s="17"/>
      <c r="D1" s="17"/>
      <c r="E1" s="17"/>
      <c r="F1" s="17"/>
    </row>
    <row r="2" spans="1:6" x14ac:dyDescent="0.3">
      <c r="A2" s="10" t="s">
        <v>118</v>
      </c>
    </row>
    <row r="3" spans="1:6" x14ac:dyDescent="0.3">
      <c r="A3" s="1" t="s">
        <v>52</v>
      </c>
      <c r="B3" s="1" t="s">
        <v>53</v>
      </c>
      <c r="C3" s="1" t="s">
        <v>119</v>
      </c>
      <c r="D3" s="1" t="s">
        <v>2</v>
      </c>
      <c r="E3" s="1" t="s">
        <v>120</v>
      </c>
      <c r="F3" s="1" t="s">
        <v>121</v>
      </c>
    </row>
    <row r="4" spans="1:6" x14ac:dyDescent="0.3">
      <c r="A4" s="5" t="s">
        <v>71</v>
      </c>
      <c r="B4" s="5" t="str">
        <f>INDEX(Dataset!$B$2:$B$201,MATCH(A4,Dataset!$A$2:$A$201,0))</f>
        <v>Linda Wilson</v>
      </c>
      <c r="C4" s="6">
        <f>SUMIF(Dataset!$A$2:$A$201,A4,Dataset!$E$2:$E$201)</f>
        <v>6549.55</v>
      </c>
      <c r="D4" s="6">
        <f>SUMIF(Dataset!$A$2:$A$201,A4,Dataset!$I$2:$I$201)</f>
        <v>1868.7700000000004</v>
      </c>
      <c r="E4" s="5">
        <f>COUNTIF(Dataset!$A$2:$A$201,A4)</f>
        <v>7</v>
      </c>
      <c r="F4" s="5">
        <f t="shared" ref="F4:F33" si="0">RANK(C4,$C$4:$C$33,0)</f>
        <v>15</v>
      </c>
    </row>
    <row r="5" spans="1:6" x14ac:dyDescent="0.3">
      <c r="A5" s="5" t="s">
        <v>106</v>
      </c>
      <c r="B5" s="5" t="str">
        <f>INDEX(Dataset!$B$2:$B$201,MATCH(A5,Dataset!$A$2:$A$201,0))</f>
        <v>Lisa Davis</v>
      </c>
      <c r="C5" s="6">
        <f>SUMIF(Dataset!$A$2:$A$201,A5,Dataset!$E$2:$E$201)</f>
        <v>6481.43</v>
      </c>
      <c r="D5" s="6">
        <f>SUMIF(Dataset!$A$2:$A$201,A5,Dataset!$I$2:$I$201)</f>
        <v>2210.7399999999998</v>
      </c>
      <c r="E5" s="5">
        <f>COUNTIF(Dataset!$A$2:$A$201,A5)</f>
        <v>6</v>
      </c>
      <c r="F5" s="5">
        <f t="shared" si="0"/>
        <v>17</v>
      </c>
    </row>
    <row r="6" spans="1:6" x14ac:dyDescent="0.3">
      <c r="A6" s="5" t="s">
        <v>108</v>
      </c>
      <c r="B6" s="5" t="str">
        <f>INDEX(Dataset!$B$2:$B$201,MATCH(A6,Dataset!$A$2:$A$201,0))</f>
        <v>Emma Davis</v>
      </c>
      <c r="C6" s="6">
        <f>SUMIF(Dataset!$A$2:$A$201,A6,Dataset!$E$2:$E$201)</f>
        <v>8490.18</v>
      </c>
      <c r="D6" s="6">
        <f>SUMIF(Dataset!$A$2:$A$201,A6,Dataset!$I$2:$I$201)</f>
        <v>2652.75</v>
      </c>
      <c r="E6" s="5">
        <f>COUNTIF(Dataset!$A$2:$A$201,A6)</f>
        <v>9</v>
      </c>
      <c r="F6" s="5">
        <f t="shared" si="0"/>
        <v>7</v>
      </c>
    </row>
    <row r="7" spans="1:6" x14ac:dyDescent="0.3">
      <c r="A7" s="5" t="s">
        <v>113</v>
      </c>
      <c r="B7" s="5" t="str">
        <f>INDEX(Dataset!$B$2:$B$201,MATCH(A7,Dataset!$A$2:$A$201,0))</f>
        <v>Lisa Thomas</v>
      </c>
      <c r="C7" s="6">
        <f>SUMIF(Dataset!$A$2:$A$201,A7,Dataset!$E$2:$E$201)</f>
        <v>7813.59</v>
      </c>
      <c r="D7" s="6">
        <f>SUMIF(Dataset!$A$2:$A$201,A7,Dataset!$I$2:$I$201)</f>
        <v>3211.82</v>
      </c>
      <c r="E7" s="5">
        <f>COUNTIF(Dataset!$A$2:$A$201,A7)</f>
        <v>7</v>
      </c>
      <c r="F7" s="5">
        <f t="shared" si="0"/>
        <v>10</v>
      </c>
    </row>
    <row r="8" spans="1:6" x14ac:dyDescent="0.3">
      <c r="A8" s="5" t="s">
        <v>66</v>
      </c>
      <c r="B8" s="5" t="str">
        <f>INDEX(Dataset!$B$2:$B$201,MATCH(A8,Dataset!$A$2:$A$201,0))</f>
        <v>Robert Anderson</v>
      </c>
      <c r="C8" s="6">
        <f>SUMIF(Dataset!$A$2:$A$201,A8,Dataset!$E$2:$E$201)</f>
        <v>6666.130000000001</v>
      </c>
      <c r="D8" s="6">
        <f>SUMIF(Dataset!$A$2:$A$201,A8,Dataset!$I$2:$I$201)</f>
        <v>1982.3899999999999</v>
      </c>
      <c r="E8" s="5">
        <f>COUNTIF(Dataset!$A$2:$A$201,A8)</f>
        <v>6</v>
      </c>
      <c r="F8" s="5">
        <f t="shared" si="0"/>
        <v>14</v>
      </c>
    </row>
    <row r="9" spans="1:6" x14ac:dyDescent="0.3">
      <c r="A9" s="5" t="s">
        <v>87</v>
      </c>
      <c r="B9" s="5" t="str">
        <f>INDEX(Dataset!$B$2:$B$201,MATCH(A9,Dataset!$A$2:$A$201,0))</f>
        <v>Mary Jackson</v>
      </c>
      <c r="C9" s="6">
        <f>SUMIF(Dataset!$A$2:$A$201,A9,Dataset!$E$2:$E$201)</f>
        <v>2699.75</v>
      </c>
      <c r="D9" s="6">
        <f>SUMIF(Dataset!$A$2:$A$201,A9,Dataset!$I$2:$I$201)</f>
        <v>837.06</v>
      </c>
      <c r="E9" s="5">
        <f>COUNTIF(Dataset!$A$2:$A$201,A9)</f>
        <v>2</v>
      </c>
      <c r="F9" s="5">
        <f t="shared" si="0"/>
        <v>30</v>
      </c>
    </row>
    <row r="10" spans="1:6" x14ac:dyDescent="0.3">
      <c r="A10" s="5" t="s">
        <v>69</v>
      </c>
      <c r="B10" s="5" t="str">
        <f>INDEX(Dataset!$B$2:$B$201,MATCH(A10,Dataset!$A$2:$A$201,0))</f>
        <v>Michael Anderson</v>
      </c>
      <c r="C10" s="6">
        <f>SUMIF(Dataset!$A$2:$A$201,A10,Dataset!$E$2:$E$201)</f>
        <v>9941.8799999999992</v>
      </c>
      <c r="D10" s="6">
        <f>SUMIF(Dataset!$A$2:$A$201,A10,Dataset!$I$2:$I$201)</f>
        <v>3936.2599999999998</v>
      </c>
      <c r="E10" s="5">
        <f>COUNTIF(Dataset!$A$2:$A$201,A10)</f>
        <v>10</v>
      </c>
      <c r="F10" s="5">
        <f t="shared" si="0"/>
        <v>3</v>
      </c>
    </row>
    <row r="11" spans="1:6" x14ac:dyDescent="0.3">
      <c r="A11" s="5" t="s">
        <v>85</v>
      </c>
      <c r="B11" s="5" t="str">
        <f>INDEX(Dataset!$B$2:$B$201,MATCH(A11,Dataset!$A$2:$A$201,0))</f>
        <v>Robert Anderson</v>
      </c>
      <c r="C11" s="6">
        <f>SUMIF(Dataset!$A$2:$A$201,A11,Dataset!$E$2:$E$201)</f>
        <v>9760.7999999999993</v>
      </c>
      <c r="D11" s="6">
        <f>SUMIF(Dataset!$A$2:$A$201,A11,Dataset!$I$2:$I$201)</f>
        <v>3442.48</v>
      </c>
      <c r="E11" s="5">
        <f>COUNTIF(Dataset!$A$2:$A$201,A11)</f>
        <v>10</v>
      </c>
      <c r="F11" s="5">
        <f t="shared" si="0"/>
        <v>4</v>
      </c>
    </row>
    <row r="12" spans="1:6" x14ac:dyDescent="0.3">
      <c r="A12" s="5" t="s">
        <v>75</v>
      </c>
      <c r="B12" s="5" t="str">
        <f>INDEX(Dataset!$B$2:$B$201,MATCH(A12,Dataset!$A$2:$A$201,0))</f>
        <v>Linda Jackson</v>
      </c>
      <c r="C12" s="6">
        <f>SUMIF(Dataset!$A$2:$A$201,A12,Dataset!$E$2:$E$201)</f>
        <v>6505.2</v>
      </c>
      <c r="D12" s="6">
        <f>SUMIF(Dataset!$A$2:$A$201,A12,Dataset!$I$2:$I$201)</f>
        <v>2052.54</v>
      </c>
      <c r="E12" s="5">
        <f>COUNTIF(Dataset!$A$2:$A$201,A12)</f>
        <v>7</v>
      </c>
      <c r="F12" s="5">
        <f t="shared" si="0"/>
        <v>16</v>
      </c>
    </row>
    <row r="13" spans="1:6" x14ac:dyDescent="0.3">
      <c r="A13" s="5" t="s">
        <v>77</v>
      </c>
      <c r="B13" s="5" t="str">
        <f>INDEX(Dataset!$B$2:$B$201,MATCH(A13,Dataset!$A$2:$A$201,0))</f>
        <v>David Thomas</v>
      </c>
      <c r="C13" s="6">
        <f>SUMIF(Dataset!$A$2:$A$201,A13,Dataset!$E$2:$E$201)</f>
        <v>4259.22</v>
      </c>
      <c r="D13" s="6">
        <f>SUMIF(Dataset!$A$2:$A$201,A13,Dataset!$I$2:$I$201)</f>
        <v>1529.32</v>
      </c>
      <c r="E13" s="5">
        <f>COUNTIF(Dataset!$A$2:$A$201,A13)</f>
        <v>5</v>
      </c>
      <c r="F13" s="5">
        <f t="shared" si="0"/>
        <v>24</v>
      </c>
    </row>
    <row r="14" spans="1:6" x14ac:dyDescent="0.3">
      <c r="A14" s="5" t="s">
        <v>104</v>
      </c>
      <c r="B14" s="5" t="str">
        <f>INDEX(Dataset!$B$2:$B$201,MATCH(A14,Dataset!$A$2:$A$201,0))</f>
        <v>Mary Davis</v>
      </c>
      <c r="C14" s="6">
        <f>SUMIF(Dataset!$A$2:$A$201,A14,Dataset!$E$2:$E$201)</f>
        <v>3762.2900000000004</v>
      </c>
      <c r="D14" s="6">
        <f>SUMIF(Dataset!$A$2:$A$201,A14,Dataset!$I$2:$I$201)</f>
        <v>1545.04</v>
      </c>
      <c r="E14" s="5">
        <f>COUNTIF(Dataset!$A$2:$A$201,A14)</f>
        <v>4</v>
      </c>
      <c r="F14" s="5">
        <f t="shared" si="0"/>
        <v>27</v>
      </c>
    </row>
    <row r="15" spans="1:6" x14ac:dyDescent="0.3">
      <c r="A15" s="5" t="s">
        <v>62</v>
      </c>
      <c r="B15" s="5" t="str">
        <f>INDEX(Dataset!$B$2:$B$201,MATCH(A15,Dataset!$A$2:$A$201,0))</f>
        <v>Robert Anderson</v>
      </c>
      <c r="C15" s="6">
        <f>SUMIF(Dataset!$A$2:$A$201,A15,Dataset!$E$2:$E$201)</f>
        <v>8339</v>
      </c>
      <c r="D15" s="6">
        <f>SUMIF(Dataset!$A$2:$A$201,A15,Dataset!$I$2:$I$201)</f>
        <v>2988.7100000000005</v>
      </c>
      <c r="E15" s="5">
        <f>COUNTIF(Dataset!$A$2:$A$201,A15)</f>
        <v>9</v>
      </c>
      <c r="F15" s="5">
        <f t="shared" si="0"/>
        <v>8</v>
      </c>
    </row>
    <row r="16" spans="1:6" x14ac:dyDescent="0.3">
      <c r="A16" s="5" t="s">
        <v>114</v>
      </c>
      <c r="B16" s="5" t="str">
        <f>INDEX(Dataset!$B$2:$B$201,MATCH(A16,Dataset!$A$2:$A$201,0))</f>
        <v>Robert Anderson</v>
      </c>
      <c r="C16" s="6">
        <f>SUMIF(Dataset!$A$2:$A$201,A16,Dataset!$E$2:$E$201)</f>
        <v>4162.4400000000005</v>
      </c>
      <c r="D16" s="6">
        <f>SUMIF(Dataset!$A$2:$A$201,A16,Dataset!$I$2:$I$201)</f>
        <v>1605.11</v>
      </c>
      <c r="E16" s="5">
        <f>COUNTIF(Dataset!$A$2:$A$201,A16)</f>
        <v>4</v>
      </c>
      <c r="F16" s="5">
        <f t="shared" si="0"/>
        <v>25</v>
      </c>
    </row>
    <row r="17" spans="1:6" x14ac:dyDescent="0.3">
      <c r="A17" s="5" t="s">
        <v>79</v>
      </c>
      <c r="B17" s="5" t="str">
        <f>INDEX(Dataset!$B$2:$B$201,MATCH(A17,Dataset!$A$2:$A$201,0))</f>
        <v>Emma Davis</v>
      </c>
      <c r="C17" s="6">
        <f>SUMIF(Dataset!$A$2:$A$201,A17,Dataset!$E$2:$E$201)</f>
        <v>6729.8899999999994</v>
      </c>
      <c r="D17" s="6">
        <f>SUMIF(Dataset!$A$2:$A$201,A17,Dataset!$I$2:$I$201)</f>
        <v>2507.1799999999998</v>
      </c>
      <c r="E17" s="5">
        <f>COUNTIF(Dataset!$A$2:$A$201,A17)</f>
        <v>6</v>
      </c>
      <c r="F17" s="5">
        <f t="shared" si="0"/>
        <v>12</v>
      </c>
    </row>
    <row r="18" spans="1:6" x14ac:dyDescent="0.3">
      <c r="A18" s="5" t="s">
        <v>99</v>
      </c>
      <c r="B18" s="5" t="str">
        <f>INDEX(Dataset!$B$2:$B$201,MATCH(A18,Dataset!$A$2:$A$201,0))</f>
        <v>Linda Taylor</v>
      </c>
      <c r="C18" s="6">
        <f>SUMIF(Dataset!$A$2:$A$201,A18,Dataset!$E$2:$E$201)</f>
        <v>11611.060000000001</v>
      </c>
      <c r="D18" s="6">
        <f>SUMIF(Dataset!$A$2:$A$201,A18,Dataset!$I$2:$I$201)</f>
        <v>4201.59</v>
      </c>
      <c r="E18" s="5">
        <f>COUNTIF(Dataset!$A$2:$A$201,A18)</f>
        <v>11</v>
      </c>
      <c r="F18" s="5">
        <f t="shared" si="0"/>
        <v>1</v>
      </c>
    </row>
    <row r="19" spans="1:6" x14ac:dyDescent="0.3">
      <c r="A19" s="5" t="s">
        <v>101</v>
      </c>
      <c r="B19" s="5" t="str">
        <f>INDEX(Dataset!$B$2:$B$201,MATCH(A19,Dataset!$A$2:$A$201,0))</f>
        <v>Emma Wilson</v>
      </c>
      <c r="C19" s="6">
        <f>SUMIF(Dataset!$A$2:$A$201,A19,Dataset!$E$2:$E$201)</f>
        <v>3369.17</v>
      </c>
      <c r="D19" s="6">
        <f>SUMIF(Dataset!$A$2:$A$201,A19,Dataset!$I$2:$I$201)</f>
        <v>1497.25</v>
      </c>
      <c r="E19" s="5">
        <f>COUNTIF(Dataset!$A$2:$A$201,A19)</f>
        <v>4</v>
      </c>
      <c r="F19" s="5">
        <f t="shared" si="0"/>
        <v>29</v>
      </c>
    </row>
    <row r="20" spans="1:6" x14ac:dyDescent="0.3">
      <c r="A20" s="5" t="s">
        <v>64</v>
      </c>
      <c r="B20" s="5" t="str">
        <f>INDEX(Dataset!$B$2:$B$201,MATCH(A20,Dataset!$A$2:$A$201,0))</f>
        <v>James Taylor</v>
      </c>
      <c r="C20" s="6">
        <f>SUMIF(Dataset!$A$2:$A$201,A20,Dataset!$E$2:$E$201)</f>
        <v>3419.2</v>
      </c>
      <c r="D20" s="6">
        <f>SUMIF(Dataset!$A$2:$A$201,A20,Dataset!$I$2:$I$201)</f>
        <v>1257.21</v>
      </c>
      <c r="E20" s="5">
        <f>COUNTIF(Dataset!$A$2:$A$201,A20)</f>
        <v>4</v>
      </c>
      <c r="F20" s="5">
        <f t="shared" si="0"/>
        <v>28</v>
      </c>
    </row>
    <row r="21" spans="1:6" x14ac:dyDescent="0.3">
      <c r="A21" s="5" t="s">
        <v>116</v>
      </c>
      <c r="B21" s="5" t="str">
        <f>INDEX(Dataset!$B$2:$B$201,MATCH(A21,Dataset!$A$2:$A$201,0))</f>
        <v>Mary Jackson</v>
      </c>
      <c r="C21" s="6">
        <f>SUMIF(Dataset!$A$2:$A$201,A21,Dataset!$E$2:$E$201)</f>
        <v>4951.8899999999994</v>
      </c>
      <c r="D21" s="6">
        <f>SUMIF(Dataset!$A$2:$A$201,A21,Dataset!$I$2:$I$201)</f>
        <v>1821.6399999999999</v>
      </c>
      <c r="E21" s="5">
        <f>COUNTIF(Dataset!$A$2:$A$201,A21)</f>
        <v>5</v>
      </c>
      <c r="F21" s="5">
        <f t="shared" si="0"/>
        <v>20</v>
      </c>
    </row>
    <row r="22" spans="1:6" x14ac:dyDescent="0.3">
      <c r="A22" s="5" t="s">
        <v>60</v>
      </c>
      <c r="B22" s="5" t="str">
        <f>INDEX(Dataset!$B$2:$B$201,MATCH(A22,Dataset!$A$2:$A$201,0))</f>
        <v>James Davis</v>
      </c>
      <c r="C22" s="6">
        <f>SUMIF(Dataset!$A$2:$A$201,A22,Dataset!$E$2:$E$201)</f>
        <v>4640.1099999999997</v>
      </c>
      <c r="D22" s="6">
        <f>SUMIF(Dataset!$A$2:$A$201,A22,Dataset!$I$2:$I$201)</f>
        <v>1721.12</v>
      </c>
      <c r="E22" s="5">
        <f>COUNTIF(Dataset!$A$2:$A$201,A22)</f>
        <v>5</v>
      </c>
      <c r="F22" s="5">
        <f t="shared" si="0"/>
        <v>21</v>
      </c>
    </row>
    <row r="23" spans="1:6" x14ac:dyDescent="0.3">
      <c r="A23" s="5" t="s">
        <v>109</v>
      </c>
      <c r="B23" s="5" t="str">
        <f>INDEX(Dataset!$B$2:$B$201,MATCH(A23,Dataset!$A$2:$A$201,0))</f>
        <v>David Brown</v>
      </c>
      <c r="C23" s="6">
        <f>SUMIF(Dataset!$A$2:$A$201,A23,Dataset!$E$2:$E$201)</f>
        <v>4413.71</v>
      </c>
      <c r="D23" s="6">
        <f>SUMIF(Dataset!$A$2:$A$201,A23,Dataset!$I$2:$I$201)</f>
        <v>1664.79</v>
      </c>
      <c r="E23" s="5">
        <f>COUNTIF(Dataset!$A$2:$A$201,A23)</f>
        <v>4</v>
      </c>
      <c r="F23" s="5">
        <f t="shared" si="0"/>
        <v>23</v>
      </c>
    </row>
    <row r="24" spans="1:6" x14ac:dyDescent="0.3">
      <c r="A24" s="5" t="s">
        <v>98</v>
      </c>
      <c r="B24" s="5" t="str">
        <f>INDEX(Dataset!$B$2:$B$201,MATCH(A24,Dataset!$A$2:$A$201,0))</f>
        <v>Sarah Anderson</v>
      </c>
      <c r="C24" s="6">
        <f>SUMIF(Dataset!$A$2:$A$201,A24,Dataset!$E$2:$E$201)</f>
        <v>8740.18</v>
      </c>
      <c r="D24" s="6">
        <f>SUMIF(Dataset!$A$2:$A$201,A24,Dataset!$I$2:$I$201)</f>
        <v>2848.62</v>
      </c>
      <c r="E24" s="5">
        <f>COUNTIF(Dataset!$A$2:$A$201,A24)</f>
        <v>8</v>
      </c>
      <c r="F24" s="5">
        <f t="shared" si="0"/>
        <v>6</v>
      </c>
    </row>
    <row r="25" spans="1:6" x14ac:dyDescent="0.3">
      <c r="A25" s="5" t="s">
        <v>90</v>
      </c>
      <c r="B25" s="5" t="str">
        <f>INDEX(Dataset!$B$2:$B$201,MATCH(A25,Dataset!$A$2:$A$201,0))</f>
        <v>Robert Anderson</v>
      </c>
      <c r="C25" s="6">
        <f>SUMIF(Dataset!$A$2:$A$201,A25,Dataset!$E$2:$E$201)</f>
        <v>4418.2800000000007</v>
      </c>
      <c r="D25" s="6">
        <f>SUMIF(Dataset!$A$2:$A$201,A25,Dataset!$I$2:$I$201)</f>
        <v>1605.23</v>
      </c>
      <c r="E25" s="5">
        <f>COUNTIF(Dataset!$A$2:$A$201,A25)</f>
        <v>5</v>
      </c>
      <c r="F25" s="5">
        <f t="shared" si="0"/>
        <v>22</v>
      </c>
    </row>
    <row r="26" spans="1:6" x14ac:dyDescent="0.3">
      <c r="A26" s="5" t="s">
        <v>81</v>
      </c>
      <c r="B26" s="5" t="str">
        <f>INDEX(Dataset!$B$2:$B$201,MATCH(A26,Dataset!$A$2:$A$201,0))</f>
        <v>Robert Anderson</v>
      </c>
      <c r="C26" s="6">
        <f>SUMIF(Dataset!$A$2:$A$201,A26,Dataset!$E$2:$E$201)</f>
        <v>5913.68</v>
      </c>
      <c r="D26" s="6">
        <f>SUMIF(Dataset!$A$2:$A$201,A26,Dataset!$I$2:$I$201)</f>
        <v>2198.62</v>
      </c>
      <c r="E26" s="5">
        <f>COUNTIF(Dataset!$A$2:$A$201,A26)</f>
        <v>7</v>
      </c>
      <c r="F26" s="5">
        <f t="shared" si="0"/>
        <v>18</v>
      </c>
    </row>
    <row r="27" spans="1:6" x14ac:dyDescent="0.3">
      <c r="A27" s="5" t="s">
        <v>111</v>
      </c>
      <c r="B27" s="5" t="str">
        <f>INDEX(Dataset!$B$2:$B$201,MATCH(A27,Dataset!$A$2:$A$201,0))</f>
        <v>David Brown</v>
      </c>
      <c r="C27" s="6">
        <f>SUMIF(Dataset!$A$2:$A$201,A27,Dataset!$E$2:$E$201)</f>
        <v>7583.1299999999992</v>
      </c>
      <c r="D27" s="6">
        <f>SUMIF(Dataset!$A$2:$A$201,A27,Dataset!$I$2:$I$201)</f>
        <v>2492.1</v>
      </c>
      <c r="E27" s="5">
        <f>COUNTIF(Dataset!$A$2:$A$201,A27)</f>
        <v>7</v>
      </c>
      <c r="F27" s="5">
        <f t="shared" si="0"/>
        <v>11</v>
      </c>
    </row>
    <row r="28" spans="1:6" x14ac:dyDescent="0.3">
      <c r="A28" s="5" t="s">
        <v>95</v>
      </c>
      <c r="B28" s="5" t="str">
        <f>INDEX(Dataset!$B$2:$B$201,MATCH(A28,Dataset!$A$2:$A$201,0))</f>
        <v>David Brown</v>
      </c>
      <c r="C28" s="6">
        <f>SUMIF(Dataset!$A$2:$A$201,A28,Dataset!$E$2:$E$201)</f>
        <v>6716.52</v>
      </c>
      <c r="D28" s="6">
        <f>SUMIF(Dataset!$A$2:$A$201,A28,Dataset!$I$2:$I$201)</f>
        <v>2327.84</v>
      </c>
      <c r="E28" s="5">
        <f>COUNTIF(Dataset!$A$2:$A$201,A28)</f>
        <v>6</v>
      </c>
      <c r="F28" s="5">
        <f t="shared" si="0"/>
        <v>13</v>
      </c>
    </row>
    <row r="29" spans="1:6" x14ac:dyDescent="0.3">
      <c r="A29" s="5" t="s">
        <v>73</v>
      </c>
      <c r="B29" s="5" t="str">
        <f>INDEX(Dataset!$B$2:$B$201,MATCH(A29,Dataset!$A$2:$A$201,0))</f>
        <v>Mary Davis</v>
      </c>
      <c r="C29" s="6">
        <f>SUMIF(Dataset!$A$2:$A$201,A29,Dataset!$E$2:$E$201)</f>
        <v>9371.81</v>
      </c>
      <c r="D29" s="6">
        <f>SUMIF(Dataset!$A$2:$A$201,A29,Dataset!$I$2:$I$201)</f>
        <v>2922.0199999999995</v>
      </c>
      <c r="E29" s="5">
        <f>COUNTIF(Dataset!$A$2:$A$201,A29)</f>
        <v>9</v>
      </c>
      <c r="F29" s="5">
        <f t="shared" si="0"/>
        <v>5</v>
      </c>
    </row>
    <row r="30" spans="1:6" x14ac:dyDescent="0.3">
      <c r="A30" s="5" t="s">
        <v>115</v>
      </c>
      <c r="B30" s="5" t="str">
        <f>INDEX(Dataset!$B$2:$B$201,MATCH(A30,Dataset!$A$2:$A$201,0))</f>
        <v>Emma Davis</v>
      </c>
      <c r="C30" s="6">
        <f>SUMIF(Dataset!$A$2:$A$201,A30,Dataset!$E$2:$E$201)</f>
        <v>3906.04</v>
      </c>
      <c r="D30" s="6">
        <f>SUMIF(Dataset!$A$2:$A$201,A30,Dataset!$I$2:$I$201)</f>
        <v>1240.6500000000001</v>
      </c>
      <c r="E30" s="5">
        <f>COUNTIF(Dataset!$A$2:$A$201,A30)</f>
        <v>5</v>
      </c>
      <c r="F30" s="5">
        <f t="shared" si="0"/>
        <v>26</v>
      </c>
    </row>
    <row r="31" spans="1:6" x14ac:dyDescent="0.3">
      <c r="A31" s="5" t="s">
        <v>93</v>
      </c>
      <c r="B31" s="5" t="str">
        <f>INDEX(Dataset!$B$2:$B$201,MATCH(A31,Dataset!$A$2:$A$201,0))</f>
        <v>Linda Taylor</v>
      </c>
      <c r="C31" s="6">
        <f>SUMIF(Dataset!$A$2:$A$201,A31,Dataset!$E$2:$E$201)</f>
        <v>10293.870000000001</v>
      </c>
      <c r="D31" s="6">
        <f>SUMIF(Dataset!$A$2:$A$201,A31,Dataset!$I$2:$I$201)</f>
        <v>3541.02</v>
      </c>
      <c r="E31" s="5">
        <f>COUNTIF(Dataset!$A$2:$A$201,A31)</f>
        <v>12</v>
      </c>
      <c r="F31" s="5">
        <f t="shared" si="0"/>
        <v>2</v>
      </c>
    </row>
    <row r="32" spans="1:6" x14ac:dyDescent="0.3">
      <c r="A32" s="5" t="s">
        <v>82</v>
      </c>
      <c r="B32" s="5" t="str">
        <f>INDEX(Dataset!$B$2:$B$201,MATCH(A32,Dataset!$A$2:$A$201,0))</f>
        <v>David Smith</v>
      </c>
      <c r="C32" s="6">
        <f>SUMIF(Dataset!$A$2:$A$201,A32,Dataset!$E$2:$E$201)</f>
        <v>5779.05</v>
      </c>
      <c r="D32" s="6">
        <f>SUMIF(Dataset!$A$2:$A$201,A32,Dataset!$I$2:$I$201)</f>
        <v>1611.6599999999999</v>
      </c>
      <c r="E32" s="5">
        <f>COUNTIF(Dataset!$A$2:$A$201,A32)</f>
        <v>7</v>
      </c>
      <c r="F32" s="5">
        <f t="shared" si="0"/>
        <v>19</v>
      </c>
    </row>
    <row r="33" spans="1:6" x14ac:dyDescent="0.3">
      <c r="A33" s="5" t="s">
        <v>67</v>
      </c>
      <c r="B33" s="5" t="str">
        <f>INDEX(Dataset!$B$2:$B$201,MATCH(A33,Dataset!$A$2:$A$201,0))</f>
        <v>James Wilson</v>
      </c>
      <c r="C33" s="6">
        <f>SUMIF(Dataset!$A$2:$A$201,A33,Dataset!$E$2:$E$201)</f>
        <v>7928.71</v>
      </c>
      <c r="D33" s="6">
        <f>SUMIF(Dataset!$A$2:$A$201,A33,Dataset!$I$2:$I$201)</f>
        <v>2965.4799999999996</v>
      </c>
      <c r="E33" s="5">
        <f>COUNTIF(Dataset!$A$2:$A$201,A33)</f>
        <v>9</v>
      </c>
      <c r="F33" s="5">
        <f t="shared" si="0"/>
        <v>9</v>
      </c>
    </row>
  </sheetData>
  <mergeCells count="1">
    <mergeCell ref="A1:F1"/>
  </mergeCells>
  <conditionalFormatting sqref="C4:C33">
    <cfRule type="cellIs" dxfId="2" priority="1" operator="greaterThanOrEqual">
      <formula>LARGE($C$4:$C$33,10)</formula>
    </cfRule>
  </conditionalFormatting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10"/>
  <sheetViews>
    <sheetView showGridLines="0" workbookViewId="0"/>
  </sheetViews>
  <sheetFormatPr defaultRowHeight="14.4" x14ac:dyDescent="0.3"/>
  <cols>
    <col min="1" max="2" width="28" customWidth="1"/>
    <col min="3" max="3" width="19" customWidth="1"/>
    <col min="4" max="4" width="28" customWidth="1"/>
    <col min="5" max="5" width="15" customWidth="1"/>
    <col min="7" max="7" width="65" customWidth="1"/>
  </cols>
  <sheetData>
    <row r="1" spans="1:7" ht="28.05" customHeight="1" x14ac:dyDescent="0.4">
      <c r="A1" s="22" t="s">
        <v>122</v>
      </c>
      <c r="B1" s="17"/>
      <c r="C1" s="17"/>
      <c r="D1" s="17"/>
      <c r="E1" s="17"/>
    </row>
    <row r="3" spans="1:7" x14ac:dyDescent="0.3">
      <c r="A3" s="1" t="s">
        <v>123</v>
      </c>
      <c r="B3" s="1" t="s">
        <v>124</v>
      </c>
      <c r="C3" s="1" t="s">
        <v>125</v>
      </c>
      <c r="D3" s="1" t="s">
        <v>126</v>
      </c>
      <c r="E3" s="1" t="s">
        <v>127</v>
      </c>
      <c r="G3" t="s">
        <v>128</v>
      </c>
    </row>
    <row r="4" spans="1:7" ht="28.8" x14ac:dyDescent="0.3">
      <c r="A4" s="7">
        <v>0</v>
      </c>
      <c r="B4" s="6">
        <f>SUMPRODUCT(Dataset!$E$2:$E$201*(1-A4)*0.4)</f>
        <v>78087.103999999978</v>
      </c>
      <c r="C4" s="6">
        <f t="shared" ref="C4:C10" si="0">B4-$B$6</f>
        <v>7808.7103999999817</v>
      </c>
      <c r="D4" s="11">
        <f>B4/SUM(Dataset!$E$2:$E$201)</f>
        <v>0.4</v>
      </c>
      <c r="E4" s="5" t="s">
        <v>129</v>
      </c>
      <c r="G4" s="4" t="s">
        <v>130</v>
      </c>
    </row>
    <row r="5" spans="1:7" x14ac:dyDescent="0.3">
      <c r="A5" s="7">
        <v>0.05</v>
      </c>
      <c r="B5" s="6">
        <f>SUMPRODUCT(Dataset!$E$2:$E$201*(1-A5)*0.4)</f>
        <v>74182.748800000001</v>
      </c>
      <c r="C5" s="6">
        <f t="shared" si="0"/>
        <v>3904.3552000000054</v>
      </c>
      <c r="D5" s="11">
        <f>B5/SUM(Dataset!$E$2:$E$201)</f>
        <v>0.38000000000000017</v>
      </c>
      <c r="E5" s="5" t="s">
        <v>129</v>
      </c>
    </row>
    <row r="6" spans="1:7" x14ac:dyDescent="0.3">
      <c r="A6" s="12" t="s">
        <v>131</v>
      </c>
      <c r="B6" s="6">
        <f>SUMPRODUCT(Dataset!$E$2:$E$201*(1-10%)*0.4)</f>
        <v>70278.393599999996</v>
      </c>
      <c r="C6" s="6">
        <f t="shared" si="0"/>
        <v>0</v>
      </c>
      <c r="D6" s="11">
        <f>B6/SUM(Dataset!$E$2:$E$201)</f>
        <v>0.3600000000000001</v>
      </c>
      <c r="E6" s="5" t="s">
        <v>132</v>
      </c>
    </row>
    <row r="7" spans="1:7" x14ac:dyDescent="0.3">
      <c r="A7" s="7">
        <v>0.15</v>
      </c>
      <c r="B7" s="6">
        <f>SUMPRODUCT(Dataset!$E$2:$E$201*(1-A7)*0.4)</f>
        <v>66374.038400000005</v>
      </c>
      <c r="C7" s="6">
        <f t="shared" si="0"/>
        <v>-3904.3551999999909</v>
      </c>
      <c r="D7" s="11">
        <f>B7/SUM(Dataset!$E$2:$E$201)</f>
        <v>0.34000000000000014</v>
      </c>
      <c r="E7" s="5" t="s">
        <v>133</v>
      </c>
    </row>
    <row r="8" spans="1:7" x14ac:dyDescent="0.3">
      <c r="A8" s="7">
        <v>0.2</v>
      </c>
      <c r="B8" s="6">
        <f>SUMPRODUCT(Dataset!$E$2:$E$201*(1-A8)*0.4)</f>
        <v>62469.683199999978</v>
      </c>
      <c r="C8" s="6">
        <f t="shared" si="0"/>
        <v>-7808.7104000000181</v>
      </c>
      <c r="D8" s="11">
        <f>B8/SUM(Dataset!$E$2:$E$201)</f>
        <v>0.32</v>
      </c>
      <c r="E8" s="5" t="s">
        <v>133</v>
      </c>
    </row>
    <row r="9" spans="1:7" x14ac:dyDescent="0.3">
      <c r="A9" s="7">
        <v>0.25</v>
      </c>
      <c r="B9" s="6">
        <f>SUMPRODUCT(Dataset!$E$2:$E$201*(1-A9)*0.4)</f>
        <v>58565.328000000009</v>
      </c>
      <c r="C9" s="6">
        <f t="shared" si="0"/>
        <v>-11713.065599999987</v>
      </c>
      <c r="D9" s="11">
        <f>B9/SUM(Dataset!$E$2:$E$201)</f>
        <v>0.30000000000000016</v>
      </c>
      <c r="E9" s="5" t="s">
        <v>133</v>
      </c>
    </row>
    <row r="10" spans="1:7" x14ac:dyDescent="0.3">
      <c r="A10" s="7">
        <v>0.3</v>
      </c>
      <c r="B10" s="6">
        <f>SUMPRODUCT(Dataset!$E$2:$E$201*(1-A10)*0.4)</f>
        <v>54660.97280000001</v>
      </c>
      <c r="C10" s="6">
        <f t="shared" si="0"/>
        <v>-15617.420799999985</v>
      </c>
      <c r="D10" s="11">
        <f>B10/SUM(Dataset!$E$2:$E$201)</f>
        <v>0.28000000000000019</v>
      </c>
      <c r="E10" s="5" t="s">
        <v>133</v>
      </c>
    </row>
  </sheetData>
  <mergeCells count="1">
    <mergeCell ref="A1:E1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203"/>
  <sheetViews>
    <sheetView showGridLines="0" workbookViewId="0"/>
  </sheetViews>
  <sheetFormatPr defaultRowHeight="14.4" x14ac:dyDescent="0.3"/>
  <cols>
    <col min="1" max="2" width="28" customWidth="1"/>
    <col min="3" max="3" width="10" customWidth="1"/>
    <col min="4" max="4" width="17" customWidth="1"/>
    <col min="5" max="6" width="10" customWidth="1"/>
  </cols>
  <sheetData>
    <row r="1" spans="1:6" ht="28.05" customHeight="1" x14ac:dyDescent="0.4">
      <c r="A1" s="22" t="s">
        <v>134</v>
      </c>
      <c r="B1" s="17"/>
      <c r="C1" s="17"/>
      <c r="D1" s="17"/>
      <c r="E1" s="17"/>
      <c r="F1" s="17"/>
    </row>
    <row r="3" spans="1:6" x14ac:dyDescent="0.3">
      <c r="A3" s="1" t="s">
        <v>135</v>
      </c>
      <c r="B3" s="1" t="s">
        <v>136</v>
      </c>
      <c r="C3" s="1"/>
      <c r="D3" s="1" t="s">
        <v>137</v>
      </c>
      <c r="E3" s="1" t="s">
        <v>10</v>
      </c>
      <c r="F3" s="1" t="s">
        <v>11</v>
      </c>
    </row>
    <row r="4" spans="1:6" x14ac:dyDescent="0.3">
      <c r="A4" s="5" t="s">
        <v>138</v>
      </c>
      <c r="B4" s="5">
        <v>200</v>
      </c>
      <c r="D4" t="s">
        <v>139</v>
      </c>
      <c r="E4" s="2">
        <v>1036.0899999999999</v>
      </c>
      <c r="F4" s="2">
        <v>331.55</v>
      </c>
    </row>
    <row r="5" spans="1:6" x14ac:dyDescent="0.3">
      <c r="A5" s="5" t="s">
        <v>140</v>
      </c>
      <c r="B5" s="13">
        <v>0.3508559881951222</v>
      </c>
      <c r="D5" t="s">
        <v>139</v>
      </c>
      <c r="E5" s="2">
        <v>1101.28</v>
      </c>
      <c r="F5" s="2">
        <v>440.51</v>
      </c>
    </row>
    <row r="6" spans="1:6" x14ac:dyDescent="0.3">
      <c r="A6" s="5" t="s">
        <v>141</v>
      </c>
      <c r="B6" s="13">
        <v>-1.031550490191107</v>
      </c>
      <c r="D6" t="s">
        <v>139</v>
      </c>
      <c r="E6" s="2">
        <v>713.34</v>
      </c>
      <c r="F6" s="2">
        <v>285.33999999999997</v>
      </c>
    </row>
    <row r="7" spans="1:6" x14ac:dyDescent="0.3">
      <c r="A7" s="5" t="s">
        <v>142</v>
      </c>
      <c r="B7" s="13">
        <v>0.59815229962644112</v>
      </c>
      <c r="D7" t="s">
        <v>139</v>
      </c>
      <c r="E7" s="2">
        <v>760.93</v>
      </c>
      <c r="F7" s="2">
        <v>161.69999999999999</v>
      </c>
    </row>
    <row r="8" spans="1:6" x14ac:dyDescent="0.3">
      <c r="A8" s="5" t="s">
        <v>143</v>
      </c>
      <c r="B8" s="13">
        <v>10</v>
      </c>
      <c r="D8" t="s">
        <v>139</v>
      </c>
      <c r="E8" s="2">
        <v>847</v>
      </c>
      <c r="F8" s="2">
        <v>271.04000000000002</v>
      </c>
    </row>
    <row r="9" spans="1:6" x14ac:dyDescent="0.3">
      <c r="A9" s="5" t="s">
        <v>144</v>
      </c>
      <c r="B9" s="13">
        <v>86.281230529665137</v>
      </c>
      <c r="D9" t="s">
        <v>139</v>
      </c>
      <c r="E9" s="2">
        <v>965.64</v>
      </c>
      <c r="F9" s="2">
        <v>304.18</v>
      </c>
    </row>
    <row r="10" spans="1:6" x14ac:dyDescent="0.3">
      <c r="A10" s="5" t="s">
        <v>145</v>
      </c>
      <c r="B10" s="13">
        <v>2.0437188630135619E-2</v>
      </c>
      <c r="D10" t="s">
        <v>139</v>
      </c>
      <c r="E10" s="2">
        <v>1317.53</v>
      </c>
      <c r="F10" s="2">
        <v>312.91000000000003</v>
      </c>
    </row>
    <row r="11" spans="1:6" x14ac:dyDescent="0.3">
      <c r="A11" s="5" t="s">
        <v>146</v>
      </c>
      <c r="B11" s="13" t="s">
        <v>51</v>
      </c>
      <c r="D11" t="s">
        <v>139</v>
      </c>
      <c r="E11" s="2">
        <v>1074.47</v>
      </c>
      <c r="F11" s="2">
        <v>300.85000000000002</v>
      </c>
    </row>
    <row r="12" spans="1:6" x14ac:dyDescent="0.3">
      <c r="D12" t="s">
        <v>139</v>
      </c>
      <c r="E12" s="2">
        <v>501.54</v>
      </c>
      <c r="F12" s="2">
        <v>190.59</v>
      </c>
    </row>
    <row r="13" spans="1:6" x14ac:dyDescent="0.3">
      <c r="D13" t="s">
        <v>139</v>
      </c>
      <c r="E13" s="2">
        <v>737.31</v>
      </c>
      <c r="F13" s="2">
        <v>350.22</v>
      </c>
    </row>
    <row r="14" spans="1:6" x14ac:dyDescent="0.3">
      <c r="A14" t="s">
        <v>147</v>
      </c>
      <c r="D14" t="s">
        <v>139</v>
      </c>
      <c r="E14" s="2">
        <v>1572.82</v>
      </c>
      <c r="F14" s="2">
        <v>672.38</v>
      </c>
    </row>
    <row r="15" spans="1:6" x14ac:dyDescent="0.3">
      <c r="A15" s="23" t="s">
        <v>148</v>
      </c>
      <c r="B15" s="17"/>
      <c r="C15" s="17"/>
      <c r="D15" s="17"/>
      <c r="E15" s="17"/>
      <c r="F15" s="17"/>
    </row>
    <row r="16" spans="1:6" x14ac:dyDescent="0.3">
      <c r="A16" s="17"/>
      <c r="B16" s="17"/>
      <c r="C16" s="17"/>
      <c r="D16" s="17"/>
      <c r="E16" s="17"/>
      <c r="F16" s="17"/>
    </row>
    <row r="17" spans="4:6" x14ac:dyDescent="0.3">
      <c r="D17" t="s">
        <v>139</v>
      </c>
      <c r="E17" s="2">
        <v>822.28</v>
      </c>
      <c r="F17" s="2">
        <v>273.41000000000003</v>
      </c>
    </row>
    <row r="18" spans="4:6" x14ac:dyDescent="0.3">
      <c r="D18" t="s">
        <v>139</v>
      </c>
      <c r="E18" s="2">
        <v>521.66999999999996</v>
      </c>
      <c r="F18" s="2">
        <v>155.19999999999999</v>
      </c>
    </row>
    <row r="19" spans="4:6" x14ac:dyDescent="0.3">
      <c r="D19" t="s">
        <v>139</v>
      </c>
      <c r="E19" s="2">
        <v>1502.93</v>
      </c>
      <c r="F19" s="2">
        <v>300.58999999999997</v>
      </c>
    </row>
    <row r="20" spans="4:6" x14ac:dyDescent="0.3">
      <c r="D20" t="s">
        <v>139</v>
      </c>
      <c r="E20" s="2">
        <v>877.58</v>
      </c>
      <c r="F20" s="2">
        <v>298.38</v>
      </c>
    </row>
    <row r="21" spans="4:6" x14ac:dyDescent="0.3">
      <c r="D21" t="s">
        <v>139</v>
      </c>
      <c r="E21" s="2">
        <v>636.70000000000005</v>
      </c>
      <c r="F21" s="2">
        <v>203.74</v>
      </c>
    </row>
    <row r="22" spans="4:6" x14ac:dyDescent="0.3">
      <c r="D22" t="s">
        <v>139</v>
      </c>
      <c r="E22" s="2">
        <v>1506.14</v>
      </c>
      <c r="F22" s="2">
        <v>481.96</v>
      </c>
    </row>
    <row r="23" spans="4:6" x14ac:dyDescent="0.3">
      <c r="D23" t="s">
        <v>139</v>
      </c>
      <c r="E23" s="2">
        <v>645.02</v>
      </c>
      <c r="F23" s="2">
        <v>161.26</v>
      </c>
    </row>
    <row r="24" spans="4:6" x14ac:dyDescent="0.3">
      <c r="D24" t="s">
        <v>139</v>
      </c>
      <c r="E24" s="2">
        <v>953.3</v>
      </c>
      <c r="F24" s="2">
        <v>476.65</v>
      </c>
    </row>
    <row r="25" spans="4:6" x14ac:dyDescent="0.3">
      <c r="D25" t="s">
        <v>139</v>
      </c>
      <c r="E25" s="2">
        <v>388.56</v>
      </c>
      <c r="F25" s="2">
        <v>82.57</v>
      </c>
    </row>
    <row r="26" spans="4:6" x14ac:dyDescent="0.3">
      <c r="D26" t="s">
        <v>139</v>
      </c>
      <c r="E26" s="2">
        <v>743.17</v>
      </c>
      <c r="F26" s="2">
        <v>297.27</v>
      </c>
    </row>
    <row r="27" spans="4:6" x14ac:dyDescent="0.3">
      <c r="D27" t="s">
        <v>139</v>
      </c>
      <c r="E27" s="2">
        <v>706.37</v>
      </c>
      <c r="F27" s="2">
        <v>176.59</v>
      </c>
    </row>
    <row r="28" spans="4:6" x14ac:dyDescent="0.3">
      <c r="D28" t="s">
        <v>139</v>
      </c>
      <c r="E28" s="2">
        <v>925.31</v>
      </c>
      <c r="F28" s="2">
        <v>374.75</v>
      </c>
    </row>
    <row r="29" spans="4:6" x14ac:dyDescent="0.3">
      <c r="D29" t="s">
        <v>139</v>
      </c>
      <c r="E29" s="2">
        <v>1173.1199999999999</v>
      </c>
      <c r="F29" s="2">
        <v>293.27999999999997</v>
      </c>
    </row>
    <row r="30" spans="4:6" x14ac:dyDescent="0.3">
      <c r="D30" t="s">
        <v>139</v>
      </c>
      <c r="E30" s="2">
        <v>675.54</v>
      </c>
      <c r="F30" s="2">
        <v>236.44</v>
      </c>
    </row>
    <row r="31" spans="4:6" x14ac:dyDescent="0.3">
      <c r="D31" t="s">
        <v>139</v>
      </c>
      <c r="E31" s="2">
        <v>939.09</v>
      </c>
      <c r="F31" s="2">
        <v>356.85</v>
      </c>
    </row>
    <row r="32" spans="4:6" x14ac:dyDescent="0.3">
      <c r="D32" t="s">
        <v>139</v>
      </c>
      <c r="E32" s="2">
        <v>983.34</v>
      </c>
      <c r="F32" s="2">
        <v>398.25</v>
      </c>
    </row>
    <row r="33" spans="4:6" x14ac:dyDescent="0.3">
      <c r="D33" t="s">
        <v>139</v>
      </c>
      <c r="E33" s="2">
        <v>801.21</v>
      </c>
      <c r="F33" s="2">
        <v>160.24</v>
      </c>
    </row>
    <row r="34" spans="4:6" x14ac:dyDescent="0.3">
      <c r="D34" t="s">
        <v>139</v>
      </c>
      <c r="E34" s="2">
        <v>1450.71</v>
      </c>
      <c r="F34" s="2">
        <v>326.41000000000003</v>
      </c>
    </row>
    <row r="35" spans="4:6" x14ac:dyDescent="0.3">
      <c r="D35" t="s">
        <v>139</v>
      </c>
      <c r="E35" s="2">
        <v>1023.21</v>
      </c>
      <c r="F35" s="2">
        <v>388.82</v>
      </c>
    </row>
    <row r="36" spans="4:6" x14ac:dyDescent="0.3">
      <c r="D36" t="s">
        <v>139</v>
      </c>
      <c r="E36" s="2">
        <v>853.72</v>
      </c>
      <c r="F36" s="2">
        <v>253.98</v>
      </c>
    </row>
    <row r="37" spans="4:6" x14ac:dyDescent="0.3">
      <c r="D37" t="s">
        <v>139</v>
      </c>
      <c r="E37" s="2">
        <v>967.89</v>
      </c>
      <c r="F37" s="2">
        <v>217.78</v>
      </c>
    </row>
    <row r="38" spans="4:6" x14ac:dyDescent="0.3">
      <c r="D38" t="s">
        <v>139</v>
      </c>
      <c r="E38" s="2">
        <v>1200.9000000000001</v>
      </c>
      <c r="F38" s="2">
        <v>513.38</v>
      </c>
    </row>
    <row r="39" spans="4:6" x14ac:dyDescent="0.3">
      <c r="D39" t="s">
        <v>139</v>
      </c>
      <c r="E39" s="2">
        <v>472.38</v>
      </c>
      <c r="F39" s="2">
        <v>151.16</v>
      </c>
    </row>
    <row r="40" spans="4:6" x14ac:dyDescent="0.3">
      <c r="D40" t="s">
        <v>139</v>
      </c>
      <c r="E40" s="2">
        <v>840.92</v>
      </c>
      <c r="F40" s="2">
        <v>359.49</v>
      </c>
    </row>
    <row r="41" spans="4:6" x14ac:dyDescent="0.3">
      <c r="D41" t="s">
        <v>139</v>
      </c>
      <c r="E41" s="2">
        <v>1410.06</v>
      </c>
      <c r="F41" s="2">
        <v>468.84</v>
      </c>
    </row>
    <row r="42" spans="4:6" x14ac:dyDescent="0.3">
      <c r="D42" t="s">
        <v>139</v>
      </c>
      <c r="E42" s="2">
        <v>773.09</v>
      </c>
      <c r="F42" s="2">
        <v>229.99</v>
      </c>
    </row>
    <row r="43" spans="4:6" x14ac:dyDescent="0.3">
      <c r="D43" t="s">
        <v>139</v>
      </c>
      <c r="E43" s="2">
        <v>580.42999999999995</v>
      </c>
      <c r="F43" s="2">
        <v>197.35</v>
      </c>
    </row>
    <row r="44" spans="4:6" x14ac:dyDescent="0.3">
      <c r="D44" t="s">
        <v>139</v>
      </c>
      <c r="E44" s="2">
        <v>1151.21</v>
      </c>
      <c r="F44" s="2">
        <v>414.44</v>
      </c>
    </row>
    <row r="45" spans="4:6" x14ac:dyDescent="0.3">
      <c r="D45" t="s">
        <v>139</v>
      </c>
      <c r="E45" s="2">
        <v>1025.98</v>
      </c>
      <c r="F45" s="2">
        <v>369.35</v>
      </c>
    </row>
    <row r="46" spans="4:6" x14ac:dyDescent="0.3">
      <c r="D46" t="s">
        <v>139</v>
      </c>
      <c r="E46" s="2">
        <v>556.41999999999996</v>
      </c>
      <c r="F46" s="2">
        <v>212.83</v>
      </c>
    </row>
    <row r="47" spans="4:6" x14ac:dyDescent="0.3">
      <c r="D47" t="s">
        <v>139</v>
      </c>
      <c r="E47" s="2">
        <v>840.85</v>
      </c>
      <c r="F47" s="2">
        <v>302.70999999999998</v>
      </c>
    </row>
    <row r="48" spans="4:6" x14ac:dyDescent="0.3">
      <c r="D48" t="s">
        <v>139</v>
      </c>
      <c r="E48" s="2">
        <v>1227.25</v>
      </c>
      <c r="F48" s="2">
        <v>365.11</v>
      </c>
    </row>
    <row r="49" spans="4:6" x14ac:dyDescent="0.3">
      <c r="D49" t="s">
        <v>139</v>
      </c>
      <c r="E49" s="2">
        <v>856.7</v>
      </c>
      <c r="F49" s="2">
        <v>214.18</v>
      </c>
    </row>
    <row r="50" spans="4:6" x14ac:dyDescent="0.3">
      <c r="D50" t="s">
        <v>139</v>
      </c>
      <c r="E50" s="2">
        <v>1225.42</v>
      </c>
      <c r="F50" s="2">
        <v>468.72</v>
      </c>
    </row>
    <row r="51" spans="4:6" x14ac:dyDescent="0.3">
      <c r="D51" t="s">
        <v>139</v>
      </c>
      <c r="E51" s="2">
        <v>1001.57</v>
      </c>
      <c r="F51" s="2">
        <v>450.71</v>
      </c>
    </row>
    <row r="52" spans="4:6" x14ac:dyDescent="0.3">
      <c r="D52" t="s">
        <v>139</v>
      </c>
      <c r="E52" s="2">
        <v>1186.8499999999999</v>
      </c>
      <c r="F52" s="2">
        <v>332.32</v>
      </c>
    </row>
    <row r="53" spans="4:6" x14ac:dyDescent="0.3">
      <c r="D53" t="s">
        <v>139</v>
      </c>
      <c r="E53" s="2">
        <v>775.45</v>
      </c>
      <c r="F53" s="2">
        <v>174.48</v>
      </c>
    </row>
    <row r="54" spans="4:6" x14ac:dyDescent="0.3">
      <c r="D54" t="s">
        <v>139</v>
      </c>
      <c r="E54" s="2">
        <v>1021.47</v>
      </c>
      <c r="F54" s="2">
        <v>242.6</v>
      </c>
    </row>
    <row r="55" spans="4:6" x14ac:dyDescent="0.3">
      <c r="D55" t="s">
        <v>139</v>
      </c>
      <c r="E55" s="2">
        <v>1226.6199999999999</v>
      </c>
      <c r="F55" s="2">
        <v>551.98</v>
      </c>
    </row>
    <row r="56" spans="4:6" x14ac:dyDescent="0.3">
      <c r="D56" t="s">
        <v>139</v>
      </c>
      <c r="E56" s="2">
        <v>1086.93</v>
      </c>
      <c r="F56" s="2">
        <v>380.43</v>
      </c>
    </row>
    <row r="57" spans="4:6" x14ac:dyDescent="0.3">
      <c r="D57" t="s">
        <v>139</v>
      </c>
      <c r="E57" s="2">
        <v>942.9</v>
      </c>
      <c r="F57" s="2">
        <v>339.44</v>
      </c>
    </row>
    <row r="58" spans="4:6" x14ac:dyDescent="0.3">
      <c r="D58" t="s">
        <v>139</v>
      </c>
      <c r="E58" s="2">
        <v>818.8</v>
      </c>
      <c r="F58" s="2">
        <v>173.99</v>
      </c>
    </row>
    <row r="59" spans="4:6" x14ac:dyDescent="0.3">
      <c r="D59" t="s">
        <v>139</v>
      </c>
      <c r="E59" s="2">
        <v>919.04</v>
      </c>
      <c r="F59" s="2">
        <v>257.33</v>
      </c>
    </row>
    <row r="60" spans="4:6" x14ac:dyDescent="0.3">
      <c r="D60" t="s">
        <v>139</v>
      </c>
      <c r="E60" s="2">
        <v>973.26</v>
      </c>
      <c r="F60" s="2">
        <v>389.3</v>
      </c>
    </row>
    <row r="61" spans="4:6" x14ac:dyDescent="0.3">
      <c r="D61" t="s">
        <v>139</v>
      </c>
      <c r="E61" s="2">
        <v>741.61</v>
      </c>
      <c r="F61" s="2">
        <v>148.32</v>
      </c>
    </row>
    <row r="62" spans="4:6" x14ac:dyDescent="0.3">
      <c r="D62" t="s">
        <v>139</v>
      </c>
      <c r="E62" s="2">
        <v>1248.82</v>
      </c>
      <c r="F62" s="2">
        <v>449.58</v>
      </c>
    </row>
    <row r="63" spans="4:6" x14ac:dyDescent="0.3">
      <c r="D63" t="s">
        <v>139</v>
      </c>
      <c r="E63" s="2">
        <v>1360.36</v>
      </c>
      <c r="F63" s="2">
        <v>680.18</v>
      </c>
    </row>
    <row r="64" spans="4:6" x14ac:dyDescent="0.3">
      <c r="D64" t="s">
        <v>139</v>
      </c>
      <c r="E64" s="2">
        <v>1383.3</v>
      </c>
      <c r="F64" s="2">
        <v>497.99</v>
      </c>
    </row>
    <row r="65" spans="4:6" x14ac:dyDescent="0.3">
      <c r="D65" t="s">
        <v>139</v>
      </c>
      <c r="E65" s="2">
        <v>488.99</v>
      </c>
      <c r="F65" s="2">
        <v>220.05</v>
      </c>
    </row>
    <row r="66" spans="4:6" x14ac:dyDescent="0.3">
      <c r="D66" t="s">
        <v>139</v>
      </c>
      <c r="E66" s="2">
        <v>933.71</v>
      </c>
      <c r="F66" s="2">
        <v>294.12</v>
      </c>
    </row>
    <row r="67" spans="4:6" x14ac:dyDescent="0.3">
      <c r="D67" t="s">
        <v>139</v>
      </c>
      <c r="E67" s="2">
        <v>1005.53</v>
      </c>
      <c r="F67" s="2">
        <v>201.11</v>
      </c>
    </row>
    <row r="68" spans="4:6" x14ac:dyDescent="0.3">
      <c r="D68" t="s">
        <v>139</v>
      </c>
      <c r="E68" s="2">
        <v>1100.0999999999999</v>
      </c>
      <c r="F68" s="2">
        <v>261.27</v>
      </c>
    </row>
    <row r="69" spans="4:6" x14ac:dyDescent="0.3">
      <c r="D69" t="s">
        <v>139</v>
      </c>
      <c r="E69" s="2">
        <v>1034.7</v>
      </c>
      <c r="F69" s="2">
        <v>307.82</v>
      </c>
    </row>
    <row r="70" spans="4:6" x14ac:dyDescent="0.3">
      <c r="D70" t="s">
        <v>139</v>
      </c>
      <c r="E70" s="2">
        <v>876.44</v>
      </c>
      <c r="F70" s="2">
        <v>333.05</v>
      </c>
    </row>
    <row r="71" spans="4:6" x14ac:dyDescent="0.3">
      <c r="D71" t="s">
        <v>139</v>
      </c>
      <c r="E71" s="2">
        <v>1371.34</v>
      </c>
      <c r="F71" s="2">
        <v>455.97</v>
      </c>
    </row>
    <row r="72" spans="4:6" x14ac:dyDescent="0.3">
      <c r="D72" t="s">
        <v>139</v>
      </c>
      <c r="E72" s="2">
        <v>1020.26</v>
      </c>
      <c r="F72" s="2">
        <v>242.31</v>
      </c>
    </row>
    <row r="73" spans="4:6" x14ac:dyDescent="0.3">
      <c r="D73" t="s">
        <v>139</v>
      </c>
      <c r="E73" s="2">
        <v>804.81</v>
      </c>
      <c r="F73" s="2">
        <v>344.06</v>
      </c>
    </row>
    <row r="74" spans="4:6" x14ac:dyDescent="0.3">
      <c r="D74" t="s">
        <v>139</v>
      </c>
      <c r="E74" s="2">
        <v>608.66</v>
      </c>
      <c r="F74" s="2">
        <v>144.56</v>
      </c>
    </row>
    <row r="75" spans="4:6" x14ac:dyDescent="0.3">
      <c r="D75" t="s">
        <v>139</v>
      </c>
      <c r="E75" s="2">
        <v>981.2</v>
      </c>
      <c r="F75" s="2">
        <v>441.54</v>
      </c>
    </row>
    <row r="76" spans="4:6" x14ac:dyDescent="0.3">
      <c r="D76" t="s">
        <v>139</v>
      </c>
      <c r="E76" s="2">
        <v>539.77</v>
      </c>
      <c r="F76" s="2">
        <v>114.7</v>
      </c>
    </row>
    <row r="77" spans="4:6" x14ac:dyDescent="0.3">
      <c r="D77" t="s">
        <v>139</v>
      </c>
      <c r="E77" s="2">
        <v>804.45</v>
      </c>
      <c r="F77" s="2">
        <v>257.42</v>
      </c>
    </row>
    <row r="78" spans="4:6" x14ac:dyDescent="0.3">
      <c r="D78" t="s">
        <v>139</v>
      </c>
      <c r="E78" s="2">
        <v>1526.6</v>
      </c>
      <c r="F78" s="2">
        <v>305.32</v>
      </c>
    </row>
    <row r="79" spans="4:6" x14ac:dyDescent="0.3">
      <c r="D79" t="s">
        <v>139</v>
      </c>
      <c r="E79" s="2">
        <v>1215.26</v>
      </c>
      <c r="F79" s="2">
        <v>258.24</v>
      </c>
    </row>
    <row r="80" spans="4:6" x14ac:dyDescent="0.3">
      <c r="D80" t="s">
        <v>139</v>
      </c>
      <c r="E80" s="2">
        <v>1261.3399999999999</v>
      </c>
      <c r="F80" s="2">
        <v>441.47</v>
      </c>
    </row>
    <row r="81" spans="4:6" x14ac:dyDescent="0.3">
      <c r="D81" t="s">
        <v>139</v>
      </c>
      <c r="E81" s="2">
        <v>518.07000000000005</v>
      </c>
      <c r="F81" s="2">
        <v>172.26</v>
      </c>
    </row>
    <row r="82" spans="4:6" x14ac:dyDescent="0.3">
      <c r="D82" t="s">
        <v>139</v>
      </c>
      <c r="E82" s="2">
        <v>1111.3399999999999</v>
      </c>
      <c r="F82" s="2">
        <v>500.1</v>
      </c>
    </row>
    <row r="83" spans="4:6" x14ac:dyDescent="0.3">
      <c r="D83" t="s">
        <v>139</v>
      </c>
      <c r="E83" s="2">
        <v>1291.47</v>
      </c>
      <c r="F83" s="2">
        <v>581.16</v>
      </c>
    </row>
    <row r="84" spans="4:6" x14ac:dyDescent="0.3">
      <c r="D84" t="s">
        <v>139</v>
      </c>
      <c r="E84" s="2">
        <v>679.71</v>
      </c>
      <c r="F84" s="2">
        <v>271.88</v>
      </c>
    </row>
    <row r="85" spans="4:6" x14ac:dyDescent="0.3">
      <c r="D85" t="s">
        <v>139</v>
      </c>
      <c r="E85" s="2">
        <v>1143.69</v>
      </c>
      <c r="F85" s="2">
        <v>400.29</v>
      </c>
    </row>
    <row r="86" spans="4:6" x14ac:dyDescent="0.3">
      <c r="D86" t="s">
        <v>139</v>
      </c>
      <c r="E86" s="2">
        <v>790.08</v>
      </c>
      <c r="F86" s="2">
        <v>177.77</v>
      </c>
    </row>
    <row r="87" spans="4:6" x14ac:dyDescent="0.3">
      <c r="D87" t="s">
        <v>139</v>
      </c>
      <c r="E87" s="2">
        <v>1070.68</v>
      </c>
      <c r="F87" s="2">
        <v>406.86</v>
      </c>
    </row>
    <row r="88" spans="4:6" x14ac:dyDescent="0.3">
      <c r="D88" t="s">
        <v>139</v>
      </c>
      <c r="E88" s="2">
        <v>1168.8900000000001</v>
      </c>
      <c r="F88" s="2">
        <v>526</v>
      </c>
    </row>
    <row r="89" spans="4:6" x14ac:dyDescent="0.3">
      <c r="D89" t="s">
        <v>139</v>
      </c>
      <c r="E89" s="2">
        <v>1335.87</v>
      </c>
      <c r="F89" s="2">
        <v>333.97</v>
      </c>
    </row>
    <row r="90" spans="4:6" x14ac:dyDescent="0.3">
      <c r="D90" t="s">
        <v>139</v>
      </c>
      <c r="E90" s="2">
        <v>873.7</v>
      </c>
      <c r="F90" s="2">
        <v>305.8</v>
      </c>
    </row>
    <row r="91" spans="4:6" x14ac:dyDescent="0.3">
      <c r="D91" t="s">
        <v>139</v>
      </c>
      <c r="E91" s="2">
        <v>1443.98</v>
      </c>
      <c r="F91" s="2">
        <v>649.79</v>
      </c>
    </row>
    <row r="92" spans="4:6" x14ac:dyDescent="0.3">
      <c r="D92" t="s">
        <v>139</v>
      </c>
      <c r="E92" s="2">
        <v>1154.33</v>
      </c>
      <c r="F92" s="2">
        <v>441.53</v>
      </c>
    </row>
    <row r="93" spans="4:6" x14ac:dyDescent="0.3">
      <c r="D93" t="s">
        <v>139</v>
      </c>
      <c r="E93" s="2">
        <v>1264.49</v>
      </c>
      <c r="F93" s="2">
        <v>480.51</v>
      </c>
    </row>
    <row r="94" spans="4:6" x14ac:dyDescent="0.3">
      <c r="D94" t="s">
        <v>139</v>
      </c>
      <c r="E94" s="2">
        <v>1101.55</v>
      </c>
      <c r="F94" s="2">
        <v>346.99</v>
      </c>
    </row>
    <row r="95" spans="4:6" x14ac:dyDescent="0.3">
      <c r="D95" t="s">
        <v>139</v>
      </c>
      <c r="E95" s="2">
        <v>727.73</v>
      </c>
      <c r="F95" s="2">
        <v>229.23</v>
      </c>
    </row>
    <row r="96" spans="4:6" x14ac:dyDescent="0.3">
      <c r="D96" t="s">
        <v>139</v>
      </c>
      <c r="E96" s="2">
        <v>875.41</v>
      </c>
      <c r="F96" s="2">
        <v>334.84</v>
      </c>
    </row>
    <row r="97" spans="4:6" x14ac:dyDescent="0.3">
      <c r="D97" t="s">
        <v>139</v>
      </c>
      <c r="E97" s="2">
        <v>1158.94</v>
      </c>
      <c r="F97" s="2">
        <v>231.79</v>
      </c>
    </row>
    <row r="98" spans="4:6" x14ac:dyDescent="0.3">
      <c r="D98" t="s">
        <v>139</v>
      </c>
      <c r="E98" s="2">
        <v>966.3</v>
      </c>
      <c r="F98" s="2">
        <v>328.54</v>
      </c>
    </row>
    <row r="99" spans="4:6" x14ac:dyDescent="0.3">
      <c r="D99" t="s">
        <v>139</v>
      </c>
      <c r="E99" s="2">
        <v>917.48</v>
      </c>
      <c r="F99" s="2">
        <v>366.99</v>
      </c>
    </row>
    <row r="100" spans="4:6" x14ac:dyDescent="0.3">
      <c r="D100" t="s">
        <v>139</v>
      </c>
      <c r="E100" s="2">
        <v>1172.97</v>
      </c>
      <c r="F100" s="2">
        <v>348.96</v>
      </c>
    </row>
    <row r="101" spans="4:6" x14ac:dyDescent="0.3">
      <c r="D101" t="s">
        <v>139</v>
      </c>
      <c r="E101" s="2">
        <v>1205.82</v>
      </c>
      <c r="F101" s="2">
        <v>542.62</v>
      </c>
    </row>
    <row r="102" spans="4:6" x14ac:dyDescent="0.3">
      <c r="D102" t="s">
        <v>139</v>
      </c>
      <c r="E102" s="2">
        <v>826.93</v>
      </c>
      <c r="F102" s="2">
        <v>297.69</v>
      </c>
    </row>
    <row r="103" spans="4:6" x14ac:dyDescent="0.3">
      <c r="D103" t="s">
        <v>139</v>
      </c>
      <c r="E103" s="2">
        <v>902.19</v>
      </c>
      <c r="F103" s="2">
        <v>451.1</v>
      </c>
    </row>
    <row r="104" spans="4:6" x14ac:dyDescent="0.3">
      <c r="D104" t="s">
        <v>139</v>
      </c>
      <c r="E104" s="2">
        <v>585.97</v>
      </c>
      <c r="F104" s="2">
        <v>210.95</v>
      </c>
    </row>
    <row r="105" spans="4:6" x14ac:dyDescent="0.3">
      <c r="D105" t="s">
        <v>139</v>
      </c>
      <c r="E105" s="2">
        <v>990.19</v>
      </c>
      <c r="F105" s="2">
        <v>445.59</v>
      </c>
    </row>
    <row r="106" spans="4:6" x14ac:dyDescent="0.3">
      <c r="D106" t="s">
        <v>139</v>
      </c>
      <c r="E106" s="2">
        <v>1014.09</v>
      </c>
      <c r="F106" s="2">
        <v>202.82</v>
      </c>
    </row>
    <row r="107" spans="4:6" x14ac:dyDescent="0.3">
      <c r="D107" t="s">
        <v>139</v>
      </c>
      <c r="E107" s="2">
        <v>925.29</v>
      </c>
      <c r="F107" s="2">
        <v>231.32</v>
      </c>
    </row>
    <row r="108" spans="4:6" x14ac:dyDescent="0.3">
      <c r="D108" t="s">
        <v>139</v>
      </c>
      <c r="E108" s="2">
        <v>1286.54</v>
      </c>
      <c r="F108" s="2">
        <v>450.29</v>
      </c>
    </row>
    <row r="109" spans="4:6" x14ac:dyDescent="0.3">
      <c r="D109" t="s">
        <v>139</v>
      </c>
      <c r="E109" s="2">
        <v>961.62</v>
      </c>
      <c r="F109" s="2">
        <v>307.72000000000003</v>
      </c>
    </row>
    <row r="110" spans="4:6" x14ac:dyDescent="0.3">
      <c r="D110" t="s">
        <v>139</v>
      </c>
      <c r="E110" s="2">
        <v>1081.1400000000001</v>
      </c>
      <c r="F110" s="2">
        <v>367.59</v>
      </c>
    </row>
    <row r="111" spans="4:6" x14ac:dyDescent="0.3">
      <c r="D111" t="s">
        <v>139</v>
      </c>
      <c r="E111" s="2">
        <v>1923.66</v>
      </c>
      <c r="F111" s="2">
        <v>769.46</v>
      </c>
    </row>
    <row r="112" spans="4:6" x14ac:dyDescent="0.3">
      <c r="D112" t="s">
        <v>139</v>
      </c>
      <c r="E112" s="2">
        <v>728.71</v>
      </c>
      <c r="F112" s="2">
        <v>327.92</v>
      </c>
    </row>
    <row r="113" spans="4:6" x14ac:dyDescent="0.3">
      <c r="D113" t="s">
        <v>139</v>
      </c>
      <c r="E113" s="2">
        <v>1301.8900000000001</v>
      </c>
      <c r="F113" s="2">
        <v>553.29999999999995</v>
      </c>
    </row>
    <row r="114" spans="4:6" x14ac:dyDescent="0.3">
      <c r="D114" t="s">
        <v>139</v>
      </c>
      <c r="E114" s="2">
        <v>980.18</v>
      </c>
      <c r="F114" s="2">
        <v>352.86</v>
      </c>
    </row>
    <row r="115" spans="4:6" x14ac:dyDescent="0.3">
      <c r="D115" t="s">
        <v>139</v>
      </c>
      <c r="E115" s="2">
        <v>697.57</v>
      </c>
      <c r="F115" s="2">
        <v>313.91000000000003</v>
      </c>
    </row>
    <row r="116" spans="4:6" x14ac:dyDescent="0.3">
      <c r="D116" t="s">
        <v>139</v>
      </c>
      <c r="E116" s="2">
        <v>1193.6099999999999</v>
      </c>
      <c r="F116" s="2">
        <v>355.1</v>
      </c>
    </row>
    <row r="117" spans="4:6" x14ac:dyDescent="0.3">
      <c r="D117" t="s">
        <v>139</v>
      </c>
      <c r="E117" s="2">
        <v>771.02</v>
      </c>
      <c r="F117" s="2">
        <v>192.76</v>
      </c>
    </row>
    <row r="118" spans="4:6" x14ac:dyDescent="0.3">
      <c r="D118" t="s">
        <v>139</v>
      </c>
      <c r="E118" s="2">
        <v>661.09</v>
      </c>
      <c r="F118" s="2">
        <v>264.44</v>
      </c>
    </row>
    <row r="119" spans="4:6" x14ac:dyDescent="0.3">
      <c r="D119" t="s">
        <v>139</v>
      </c>
      <c r="E119" s="2">
        <v>688.83</v>
      </c>
      <c r="F119" s="2">
        <v>172.21</v>
      </c>
    </row>
    <row r="120" spans="4:6" x14ac:dyDescent="0.3">
      <c r="D120" t="s">
        <v>139</v>
      </c>
      <c r="E120" s="2">
        <v>1249.0999999999999</v>
      </c>
      <c r="F120" s="2">
        <v>474.66</v>
      </c>
    </row>
    <row r="121" spans="4:6" x14ac:dyDescent="0.3">
      <c r="D121" t="s">
        <v>139</v>
      </c>
      <c r="E121" s="2">
        <v>1014.22</v>
      </c>
      <c r="F121" s="2">
        <v>433.58</v>
      </c>
    </row>
    <row r="122" spans="4:6" x14ac:dyDescent="0.3">
      <c r="D122" t="s">
        <v>139</v>
      </c>
      <c r="E122" s="2">
        <v>1010.58</v>
      </c>
      <c r="F122" s="2">
        <v>343.6</v>
      </c>
    </row>
    <row r="123" spans="4:6" x14ac:dyDescent="0.3">
      <c r="D123" t="s">
        <v>139</v>
      </c>
      <c r="E123" s="2">
        <v>957.29</v>
      </c>
      <c r="F123" s="2">
        <v>318.3</v>
      </c>
    </row>
    <row r="124" spans="4:6" x14ac:dyDescent="0.3">
      <c r="D124" t="s">
        <v>139</v>
      </c>
      <c r="E124" s="2">
        <v>1077.92</v>
      </c>
      <c r="F124" s="2">
        <v>358.41</v>
      </c>
    </row>
    <row r="125" spans="4:6" x14ac:dyDescent="0.3">
      <c r="D125" t="s">
        <v>139</v>
      </c>
      <c r="E125" s="2">
        <v>1163.01</v>
      </c>
      <c r="F125" s="2">
        <v>581.5</v>
      </c>
    </row>
    <row r="126" spans="4:6" x14ac:dyDescent="0.3">
      <c r="D126" t="s">
        <v>139</v>
      </c>
      <c r="E126" s="2">
        <v>1014.56</v>
      </c>
      <c r="F126" s="2">
        <v>410.9</v>
      </c>
    </row>
    <row r="127" spans="4:6" x14ac:dyDescent="0.3">
      <c r="D127" t="s">
        <v>139</v>
      </c>
      <c r="E127" s="2">
        <v>718.04</v>
      </c>
      <c r="F127" s="2">
        <v>179.51</v>
      </c>
    </row>
    <row r="128" spans="4:6" x14ac:dyDescent="0.3">
      <c r="D128" t="s">
        <v>139</v>
      </c>
      <c r="E128" s="2">
        <v>1277.8499999999999</v>
      </c>
      <c r="F128" s="2">
        <v>511.14</v>
      </c>
    </row>
    <row r="129" spans="4:6" x14ac:dyDescent="0.3">
      <c r="D129" t="s">
        <v>139</v>
      </c>
      <c r="E129" s="2">
        <v>706.73</v>
      </c>
      <c r="F129" s="2">
        <v>150.18</v>
      </c>
    </row>
    <row r="130" spans="4:6" x14ac:dyDescent="0.3">
      <c r="D130" t="s">
        <v>139</v>
      </c>
      <c r="E130" s="2">
        <v>1410.59</v>
      </c>
      <c r="F130" s="2">
        <v>352.65</v>
      </c>
    </row>
    <row r="131" spans="4:6" x14ac:dyDescent="0.3">
      <c r="D131" t="s">
        <v>139</v>
      </c>
      <c r="E131" s="2">
        <v>1350.33</v>
      </c>
      <c r="F131" s="2">
        <v>472.62</v>
      </c>
    </row>
    <row r="132" spans="4:6" x14ac:dyDescent="0.3">
      <c r="D132" t="s">
        <v>139</v>
      </c>
      <c r="E132" s="2">
        <v>919.18</v>
      </c>
      <c r="F132" s="2">
        <v>195.33</v>
      </c>
    </row>
    <row r="133" spans="4:6" x14ac:dyDescent="0.3">
      <c r="D133" t="s">
        <v>139</v>
      </c>
      <c r="E133" s="2">
        <v>258.51</v>
      </c>
      <c r="F133" s="2">
        <v>64.63</v>
      </c>
    </row>
    <row r="134" spans="4:6" x14ac:dyDescent="0.3">
      <c r="D134" t="s">
        <v>139</v>
      </c>
      <c r="E134" s="2">
        <v>1213.48</v>
      </c>
      <c r="F134" s="2">
        <v>461.12</v>
      </c>
    </row>
    <row r="135" spans="4:6" x14ac:dyDescent="0.3">
      <c r="D135" t="s">
        <v>139</v>
      </c>
      <c r="E135" s="2">
        <v>1150.28</v>
      </c>
      <c r="F135" s="2">
        <v>437.11</v>
      </c>
    </row>
    <row r="136" spans="4:6" x14ac:dyDescent="0.3">
      <c r="D136" t="s">
        <v>139</v>
      </c>
      <c r="E136" s="2">
        <v>853.86</v>
      </c>
      <c r="F136" s="2">
        <v>268.97000000000003</v>
      </c>
    </row>
    <row r="137" spans="4:6" x14ac:dyDescent="0.3">
      <c r="D137" t="s">
        <v>139</v>
      </c>
      <c r="E137" s="2">
        <v>1061.04</v>
      </c>
      <c r="F137" s="2">
        <v>265.26</v>
      </c>
    </row>
    <row r="138" spans="4:6" x14ac:dyDescent="0.3">
      <c r="D138" t="s">
        <v>139</v>
      </c>
      <c r="E138" s="2">
        <v>894.55</v>
      </c>
      <c r="F138" s="2">
        <v>178.91</v>
      </c>
    </row>
    <row r="139" spans="4:6" x14ac:dyDescent="0.3">
      <c r="D139" t="s">
        <v>139</v>
      </c>
      <c r="E139" s="2">
        <v>833.91</v>
      </c>
      <c r="F139" s="2">
        <v>356.5</v>
      </c>
    </row>
    <row r="140" spans="4:6" x14ac:dyDescent="0.3">
      <c r="D140" t="s">
        <v>139</v>
      </c>
      <c r="E140" s="2">
        <v>820.19</v>
      </c>
      <c r="F140" s="2">
        <v>229.65</v>
      </c>
    </row>
    <row r="141" spans="4:6" x14ac:dyDescent="0.3">
      <c r="D141" t="s">
        <v>139</v>
      </c>
      <c r="E141" s="2">
        <v>511.74</v>
      </c>
      <c r="F141" s="2">
        <v>121.54</v>
      </c>
    </row>
    <row r="142" spans="4:6" x14ac:dyDescent="0.3">
      <c r="D142" t="s">
        <v>139</v>
      </c>
      <c r="E142" s="2">
        <v>806.03</v>
      </c>
      <c r="F142" s="2">
        <v>268</v>
      </c>
    </row>
    <row r="143" spans="4:6" x14ac:dyDescent="0.3">
      <c r="D143" t="s">
        <v>139</v>
      </c>
      <c r="E143" s="2">
        <v>1432.47</v>
      </c>
      <c r="F143" s="2">
        <v>426.16</v>
      </c>
    </row>
    <row r="144" spans="4:6" x14ac:dyDescent="0.3">
      <c r="D144" t="s">
        <v>139</v>
      </c>
      <c r="E144" s="2">
        <v>1488.58</v>
      </c>
      <c r="F144" s="2">
        <v>316.32</v>
      </c>
    </row>
    <row r="145" spans="4:6" x14ac:dyDescent="0.3">
      <c r="D145" t="s">
        <v>139</v>
      </c>
      <c r="E145" s="2">
        <v>1231.26</v>
      </c>
      <c r="F145" s="2">
        <v>492.5</v>
      </c>
    </row>
    <row r="146" spans="4:6" x14ac:dyDescent="0.3">
      <c r="D146" t="s">
        <v>139</v>
      </c>
      <c r="E146" s="2">
        <v>1161.67</v>
      </c>
      <c r="F146" s="2">
        <v>232.33</v>
      </c>
    </row>
    <row r="147" spans="4:6" x14ac:dyDescent="0.3">
      <c r="D147" t="s">
        <v>139</v>
      </c>
      <c r="E147" s="2">
        <v>388.23</v>
      </c>
      <c r="F147" s="2">
        <v>165.97</v>
      </c>
    </row>
    <row r="148" spans="4:6" x14ac:dyDescent="0.3">
      <c r="D148" t="s">
        <v>139</v>
      </c>
      <c r="E148" s="2">
        <v>1589.42</v>
      </c>
      <c r="F148" s="2">
        <v>675.5</v>
      </c>
    </row>
    <row r="149" spans="4:6" x14ac:dyDescent="0.3">
      <c r="D149" t="s">
        <v>139</v>
      </c>
      <c r="E149" s="2">
        <v>336.66</v>
      </c>
      <c r="F149" s="2">
        <v>134.66</v>
      </c>
    </row>
    <row r="150" spans="4:6" x14ac:dyDescent="0.3">
      <c r="D150" t="s">
        <v>139</v>
      </c>
      <c r="E150" s="2">
        <v>1353.79</v>
      </c>
      <c r="F150" s="2">
        <v>487.36</v>
      </c>
    </row>
    <row r="151" spans="4:6" x14ac:dyDescent="0.3">
      <c r="D151" t="s">
        <v>139</v>
      </c>
      <c r="E151" s="2">
        <v>662.61</v>
      </c>
      <c r="F151" s="2">
        <v>314.74</v>
      </c>
    </row>
    <row r="152" spans="4:6" x14ac:dyDescent="0.3">
      <c r="D152" t="s">
        <v>139</v>
      </c>
      <c r="E152" s="2">
        <v>309.42</v>
      </c>
      <c r="F152" s="2">
        <v>111.39</v>
      </c>
    </row>
    <row r="153" spans="4:6" x14ac:dyDescent="0.3">
      <c r="D153" t="s">
        <v>139</v>
      </c>
      <c r="E153" s="2">
        <v>884.63</v>
      </c>
      <c r="F153" s="2">
        <v>318.47000000000003</v>
      </c>
    </row>
    <row r="154" spans="4:6" x14ac:dyDescent="0.3">
      <c r="D154" t="s">
        <v>139</v>
      </c>
      <c r="E154" s="2">
        <v>745.05</v>
      </c>
      <c r="F154" s="2">
        <v>301.75</v>
      </c>
    </row>
    <row r="155" spans="4:6" x14ac:dyDescent="0.3">
      <c r="D155" t="s">
        <v>139</v>
      </c>
      <c r="E155" s="2">
        <v>870.23</v>
      </c>
      <c r="F155" s="2">
        <v>413.36</v>
      </c>
    </row>
    <row r="156" spans="4:6" x14ac:dyDescent="0.3">
      <c r="D156" t="s">
        <v>139</v>
      </c>
      <c r="E156" s="2">
        <v>862.19</v>
      </c>
      <c r="F156" s="2">
        <v>286.68</v>
      </c>
    </row>
    <row r="157" spans="4:6" x14ac:dyDescent="0.3">
      <c r="D157" t="s">
        <v>139</v>
      </c>
      <c r="E157" s="2">
        <v>1171.18</v>
      </c>
      <c r="F157" s="2">
        <v>556.30999999999995</v>
      </c>
    </row>
    <row r="158" spans="4:6" x14ac:dyDescent="0.3">
      <c r="D158" t="s">
        <v>139</v>
      </c>
      <c r="E158" s="2">
        <v>1054.56</v>
      </c>
      <c r="F158" s="2">
        <v>332.19</v>
      </c>
    </row>
    <row r="159" spans="4:6" x14ac:dyDescent="0.3">
      <c r="D159" t="s">
        <v>139</v>
      </c>
      <c r="E159" s="2">
        <v>1681.21</v>
      </c>
      <c r="F159" s="2">
        <v>336.24</v>
      </c>
    </row>
    <row r="160" spans="4:6" x14ac:dyDescent="0.3">
      <c r="D160" t="s">
        <v>139</v>
      </c>
      <c r="E160" s="2">
        <v>379.77</v>
      </c>
      <c r="F160" s="2">
        <v>180.39</v>
      </c>
    </row>
    <row r="161" spans="4:6" x14ac:dyDescent="0.3">
      <c r="D161" t="s">
        <v>139</v>
      </c>
      <c r="E161" s="2">
        <v>1076.33</v>
      </c>
      <c r="F161" s="2">
        <v>484.35</v>
      </c>
    </row>
    <row r="162" spans="4:6" x14ac:dyDescent="0.3">
      <c r="D162" t="s">
        <v>139</v>
      </c>
      <c r="E162" s="2">
        <v>1250.71</v>
      </c>
      <c r="F162" s="2">
        <v>562.82000000000005</v>
      </c>
    </row>
    <row r="163" spans="4:6" x14ac:dyDescent="0.3">
      <c r="D163" t="s">
        <v>139</v>
      </c>
      <c r="E163" s="2">
        <v>1118.3399999999999</v>
      </c>
      <c r="F163" s="2">
        <v>447.34</v>
      </c>
    </row>
    <row r="164" spans="4:6" x14ac:dyDescent="0.3">
      <c r="D164" t="s">
        <v>139</v>
      </c>
      <c r="E164" s="2">
        <v>1622.62</v>
      </c>
      <c r="F164" s="2">
        <v>649.04999999999995</v>
      </c>
    </row>
    <row r="165" spans="4:6" x14ac:dyDescent="0.3">
      <c r="D165" t="s">
        <v>139</v>
      </c>
      <c r="E165" s="2">
        <v>640.64</v>
      </c>
      <c r="F165" s="2">
        <v>205</v>
      </c>
    </row>
    <row r="166" spans="4:6" x14ac:dyDescent="0.3">
      <c r="D166" t="s">
        <v>139</v>
      </c>
      <c r="E166" s="2">
        <v>585.16</v>
      </c>
      <c r="F166" s="2">
        <v>263.32</v>
      </c>
    </row>
    <row r="167" spans="4:6" x14ac:dyDescent="0.3">
      <c r="D167" t="s">
        <v>139</v>
      </c>
      <c r="E167" s="2">
        <v>1109.98</v>
      </c>
      <c r="F167" s="2">
        <v>443.99</v>
      </c>
    </row>
    <row r="168" spans="4:6" x14ac:dyDescent="0.3">
      <c r="D168" t="s">
        <v>139</v>
      </c>
      <c r="E168" s="2">
        <v>1098.08</v>
      </c>
      <c r="F168" s="2">
        <v>395.31</v>
      </c>
    </row>
    <row r="169" spans="4:6" x14ac:dyDescent="0.3">
      <c r="D169" t="s">
        <v>139</v>
      </c>
      <c r="E169" s="2">
        <v>827.25</v>
      </c>
      <c r="F169" s="2">
        <v>335.04</v>
      </c>
    </row>
    <row r="170" spans="4:6" x14ac:dyDescent="0.3">
      <c r="D170" t="s">
        <v>139</v>
      </c>
      <c r="E170" s="2">
        <v>741.88</v>
      </c>
      <c r="F170" s="2">
        <v>333.85</v>
      </c>
    </row>
    <row r="171" spans="4:6" x14ac:dyDescent="0.3">
      <c r="D171" t="s">
        <v>139</v>
      </c>
      <c r="E171" s="2">
        <v>1311.26</v>
      </c>
      <c r="F171" s="2">
        <v>531.05999999999995</v>
      </c>
    </row>
    <row r="172" spans="4:6" x14ac:dyDescent="0.3">
      <c r="D172" t="s">
        <v>139</v>
      </c>
      <c r="E172" s="2">
        <v>573.32000000000005</v>
      </c>
      <c r="F172" s="2">
        <v>232.19</v>
      </c>
    </row>
    <row r="173" spans="4:6" x14ac:dyDescent="0.3">
      <c r="D173" t="s">
        <v>139</v>
      </c>
      <c r="E173" s="2">
        <v>1115.22</v>
      </c>
      <c r="F173" s="2">
        <v>223.04</v>
      </c>
    </row>
    <row r="174" spans="4:6" x14ac:dyDescent="0.3">
      <c r="D174" t="s">
        <v>139</v>
      </c>
      <c r="E174" s="2">
        <v>845.84</v>
      </c>
      <c r="F174" s="2">
        <v>422.92</v>
      </c>
    </row>
    <row r="175" spans="4:6" x14ac:dyDescent="0.3">
      <c r="D175" t="s">
        <v>139</v>
      </c>
      <c r="E175" s="2">
        <v>1029.8</v>
      </c>
      <c r="F175" s="2">
        <v>257.45</v>
      </c>
    </row>
    <row r="176" spans="4:6" x14ac:dyDescent="0.3">
      <c r="D176" t="s">
        <v>139</v>
      </c>
      <c r="E176" s="2">
        <v>1189.83</v>
      </c>
      <c r="F176" s="2">
        <v>380.75</v>
      </c>
    </row>
    <row r="177" spans="4:6" x14ac:dyDescent="0.3">
      <c r="D177" t="s">
        <v>139</v>
      </c>
      <c r="E177" s="2">
        <v>704.28</v>
      </c>
      <c r="F177" s="2">
        <v>225.37</v>
      </c>
    </row>
    <row r="178" spans="4:6" x14ac:dyDescent="0.3">
      <c r="D178" t="s">
        <v>139</v>
      </c>
      <c r="E178" s="2">
        <v>1618.22</v>
      </c>
      <c r="F178" s="2">
        <v>582.55999999999995</v>
      </c>
    </row>
    <row r="179" spans="4:6" x14ac:dyDescent="0.3">
      <c r="D179" t="s">
        <v>139</v>
      </c>
      <c r="E179" s="2">
        <v>1014.43</v>
      </c>
      <c r="F179" s="2">
        <v>344.91</v>
      </c>
    </row>
    <row r="180" spans="4:6" x14ac:dyDescent="0.3">
      <c r="D180" t="s">
        <v>139</v>
      </c>
      <c r="E180" s="2">
        <v>826.97</v>
      </c>
      <c r="F180" s="2">
        <v>330.79</v>
      </c>
    </row>
    <row r="181" spans="4:6" x14ac:dyDescent="0.3">
      <c r="D181" t="s">
        <v>139</v>
      </c>
      <c r="E181" s="2">
        <v>1022.23</v>
      </c>
      <c r="F181" s="2">
        <v>460</v>
      </c>
    </row>
    <row r="182" spans="4:6" x14ac:dyDescent="0.3">
      <c r="D182" t="s">
        <v>139</v>
      </c>
      <c r="E182" s="2">
        <v>1099.69</v>
      </c>
      <c r="F182" s="2">
        <v>439.88</v>
      </c>
    </row>
    <row r="183" spans="4:6" x14ac:dyDescent="0.3">
      <c r="D183" t="s">
        <v>139</v>
      </c>
      <c r="E183" s="2">
        <v>710.52</v>
      </c>
      <c r="F183" s="2">
        <v>255.79</v>
      </c>
    </row>
    <row r="184" spans="4:6" x14ac:dyDescent="0.3">
      <c r="D184" t="s">
        <v>139</v>
      </c>
      <c r="E184" s="2">
        <v>499.18</v>
      </c>
      <c r="F184" s="2">
        <v>159.74</v>
      </c>
    </row>
    <row r="185" spans="4:6" x14ac:dyDescent="0.3">
      <c r="D185" t="s">
        <v>139</v>
      </c>
      <c r="E185" s="2">
        <v>1064.19</v>
      </c>
      <c r="F185" s="2">
        <v>404.39</v>
      </c>
    </row>
    <row r="186" spans="4:6" x14ac:dyDescent="0.3">
      <c r="D186" t="s">
        <v>139</v>
      </c>
      <c r="E186" s="2">
        <v>438.76</v>
      </c>
      <c r="F186" s="2">
        <v>187.57</v>
      </c>
    </row>
    <row r="187" spans="4:6" x14ac:dyDescent="0.3">
      <c r="D187" t="s">
        <v>139</v>
      </c>
      <c r="E187" s="2">
        <v>864.98</v>
      </c>
      <c r="F187" s="2">
        <v>410.87</v>
      </c>
    </row>
    <row r="188" spans="4:6" x14ac:dyDescent="0.3">
      <c r="D188" t="s">
        <v>139</v>
      </c>
      <c r="E188" s="2">
        <v>984.93</v>
      </c>
      <c r="F188" s="2">
        <v>275.77999999999997</v>
      </c>
    </row>
    <row r="189" spans="4:6" x14ac:dyDescent="0.3">
      <c r="D189" t="s">
        <v>139</v>
      </c>
      <c r="E189" s="2">
        <v>1493.49</v>
      </c>
      <c r="F189" s="2">
        <v>746.74</v>
      </c>
    </row>
    <row r="190" spans="4:6" x14ac:dyDescent="0.3">
      <c r="D190" t="s">
        <v>139</v>
      </c>
      <c r="E190" s="2">
        <v>689.43</v>
      </c>
      <c r="F190" s="2">
        <v>310.24</v>
      </c>
    </row>
    <row r="191" spans="4:6" x14ac:dyDescent="0.3">
      <c r="D191" t="s">
        <v>139</v>
      </c>
      <c r="E191" s="2">
        <v>682.24</v>
      </c>
      <c r="F191" s="2">
        <v>341.12</v>
      </c>
    </row>
    <row r="192" spans="4:6" x14ac:dyDescent="0.3">
      <c r="D192" t="s">
        <v>139</v>
      </c>
      <c r="E192" s="2">
        <v>458.54</v>
      </c>
      <c r="F192" s="2">
        <v>91.71</v>
      </c>
    </row>
    <row r="193" spans="4:6" x14ac:dyDescent="0.3">
      <c r="D193" t="s">
        <v>139</v>
      </c>
      <c r="E193" s="2">
        <v>1184.25</v>
      </c>
      <c r="F193" s="2">
        <v>331.59</v>
      </c>
    </row>
    <row r="194" spans="4:6" x14ac:dyDescent="0.3">
      <c r="D194" t="s">
        <v>139</v>
      </c>
      <c r="E194" s="2">
        <v>762.14</v>
      </c>
      <c r="F194" s="2">
        <v>381.07</v>
      </c>
    </row>
    <row r="195" spans="4:6" x14ac:dyDescent="0.3">
      <c r="D195" t="s">
        <v>139</v>
      </c>
      <c r="E195" s="2">
        <v>750.71</v>
      </c>
      <c r="F195" s="2">
        <v>255.24</v>
      </c>
    </row>
    <row r="196" spans="4:6" x14ac:dyDescent="0.3">
      <c r="D196" t="s">
        <v>139</v>
      </c>
      <c r="E196" s="2">
        <v>1456.94</v>
      </c>
      <c r="F196" s="2">
        <v>692.05</v>
      </c>
    </row>
    <row r="197" spans="4:6" x14ac:dyDescent="0.3">
      <c r="D197" t="s">
        <v>139</v>
      </c>
      <c r="E197" s="2">
        <v>1093.3800000000001</v>
      </c>
      <c r="F197" s="2">
        <v>344.41</v>
      </c>
    </row>
    <row r="198" spans="4:6" x14ac:dyDescent="0.3">
      <c r="D198" t="s">
        <v>139</v>
      </c>
      <c r="E198" s="2">
        <v>934.27</v>
      </c>
      <c r="F198" s="2">
        <v>397.06</v>
      </c>
    </row>
    <row r="199" spans="4:6" x14ac:dyDescent="0.3">
      <c r="D199" t="s">
        <v>139</v>
      </c>
      <c r="E199" s="2">
        <v>1465.35</v>
      </c>
      <c r="F199" s="2">
        <v>586.14</v>
      </c>
    </row>
    <row r="200" spans="4:6" x14ac:dyDescent="0.3">
      <c r="D200" t="s">
        <v>139</v>
      </c>
      <c r="E200" s="2">
        <v>740.8</v>
      </c>
      <c r="F200" s="2">
        <v>333.36</v>
      </c>
    </row>
    <row r="201" spans="4:6" x14ac:dyDescent="0.3">
      <c r="D201" t="s">
        <v>139</v>
      </c>
      <c r="E201" s="2">
        <v>545.44000000000005</v>
      </c>
      <c r="F201" s="2">
        <v>245.45</v>
      </c>
    </row>
    <row r="202" spans="4:6" x14ac:dyDescent="0.3">
      <c r="D202" t="s">
        <v>139</v>
      </c>
      <c r="E202" s="2">
        <v>997.61</v>
      </c>
      <c r="F202" s="2">
        <v>379.09</v>
      </c>
    </row>
    <row r="203" spans="4:6" x14ac:dyDescent="0.3">
      <c r="D203" t="s">
        <v>139</v>
      </c>
      <c r="E203" s="2">
        <v>928.32</v>
      </c>
      <c r="F203" s="2">
        <v>440.95</v>
      </c>
    </row>
  </sheetData>
  <mergeCells count="2">
    <mergeCell ref="A1:F1"/>
    <mergeCell ref="A15:F16"/>
  </mergeCells>
  <pageMargins left="0.75" right="0.75" top="1" bottom="1" header="0.5" footer="0.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7"/>
  <sheetViews>
    <sheetView showGridLines="0" workbookViewId="0"/>
  </sheetViews>
  <sheetFormatPr defaultRowHeight="14.4" x14ac:dyDescent="0.3"/>
  <sheetData>
    <row r="1" spans="1:9" ht="28.05" customHeight="1" x14ac:dyDescent="0.4">
      <c r="A1" s="22" t="s">
        <v>149</v>
      </c>
      <c r="B1" s="17"/>
      <c r="C1" s="17"/>
      <c r="D1" s="17"/>
      <c r="E1" s="17"/>
      <c r="F1" s="17"/>
      <c r="G1" s="17"/>
      <c r="H1" s="17"/>
      <c r="I1" s="17"/>
    </row>
    <row r="3" spans="1:9" x14ac:dyDescent="0.3">
      <c r="A3" s="1" t="s">
        <v>150</v>
      </c>
      <c r="B3" s="1" t="s">
        <v>151</v>
      </c>
      <c r="C3" s="1" t="s">
        <v>152</v>
      </c>
      <c r="D3" s="1" t="s">
        <v>153</v>
      </c>
      <c r="E3" s="1" t="s">
        <v>154</v>
      </c>
      <c r="F3" s="1" t="s">
        <v>155</v>
      </c>
      <c r="G3" s="1" t="s">
        <v>156</v>
      </c>
      <c r="H3" s="1" t="s">
        <v>157</v>
      </c>
      <c r="I3" s="1" t="s">
        <v>158</v>
      </c>
    </row>
    <row r="4" spans="1:9" x14ac:dyDescent="0.3">
      <c r="A4" s="5" t="s">
        <v>10</v>
      </c>
      <c r="B4" s="5">
        <v>200</v>
      </c>
      <c r="C4" s="6">
        <v>976.08879999999999</v>
      </c>
      <c r="D4" s="6">
        <v>299.27375909856329</v>
      </c>
      <c r="E4" s="6">
        <v>258.51</v>
      </c>
      <c r="F4" s="6">
        <v>1923.66</v>
      </c>
      <c r="G4" s="6">
        <v>976.72</v>
      </c>
      <c r="H4" s="6">
        <v>1665.15</v>
      </c>
      <c r="I4" s="6">
        <v>195217.76</v>
      </c>
    </row>
    <row r="5" spans="1:9" x14ac:dyDescent="0.3">
      <c r="A5" s="5" t="s">
        <v>56</v>
      </c>
      <c r="B5" s="5">
        <v>200</v>
      </c>
      <c r="C5" s="6">
        <v>9.9949999999999992</v>
      </c>
      <c r="D5" s="6">
        <v>5.6466270449645091</v>
      </c>
      <c r="E5" s="6">
        <v>1</v>
      </c>
      <c r="F5" s="6">
        <v>19</v>
      </c>
      <c r="G5" s="6">
        <v>10</v>
      </c>
      <c r="H5" s="6">
        <v>18</v>
      </c>
      <c r="I5" s="6">
        <v>1999</v>
      </c>
    </row>
    <row r="6" spans="1:9" x14ac:dyDescent="0.3">
      <c r="A6" s="5" t="s">
        <v>57</v>
      </c>
      <c r="B6" s="5">
        <v>200</v>
      </c>
      <c r="C6" s="11">
        <v>9.7250000000000017E-2</v>
      </c>
      <c r="D6" s="11">
        <v>7.2326295113355005E-2</v>
      </c>
      <c r="E6" s="11">
        <v>0</v>
      </c>
      <c r="F6" s="11">
        <v>0.2</v>
      </c>
      <c r="G6" s="11">
        <v>0.1</v>
      </c>
      <c r="H6" s="11">
        <v>0.2</v>
      </c>
      <c r="I6" s="6">
        <v>19.45</v>
      </c>
    </row>
    <row r="7" spans="1:9" x14ac:dyDescent="0.3">
      <c r="A7" s="5" t="s">
        <v>11</v>
      </c>
      <c r="B7" s="5">
        <v>200</v>
      </c>
      <c r="C7" s="6">
        <v>341.43504999999999</v>
      </c>
      <c r="D7" s="6">
        <v>135.76619405521649</v>
      </c>
      <c r="E7" s="6">
        <v>64.63</v>
      </c>
      <c r="F7" s="6">
        <v>769.46</v>
      </c>
      <c r="G7" s="6">
        <v>332.255</v>
      </c>
      <c r="H7" s="6">
        <v>704.83</v>
      </c>
      <c r="I7" s="6">
        <v>68287.010000000009</v>
      </c>
    </row>
  </sheetData>
  <mergeCells count="1">
    <mergeCell ref="A1:I1"/>
  </mergeCell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11"/>
  <sheetViews>
    <sheetView showGridLines="0" workbookViewId="0"/>
  </sheetViews>
  <sheetFormatPr defaultRowHeight="14.4" x14ac:dyDescent="0.3"/>
  <cols>
    <col min="1" max="1" width="28" customWidth="1"/>
    <col min="2" max="2" width="20" customWidth="1"/>
    <col min="3" max="3" width="11" customWidth="1"/>
  </cols>
  <sheetData>
    <row r="1" spans="1:8" ht="28.05" customHeight="1" x14ac:dyDescent="0.4">
      <c r="A1" s="22" t="s">
        <v>159</v>
      </c>
      <c r="B1" s="17"/>
      <c r="C1" s="17"/>
      <c r="D1" s="17"/>
      <c r="E1" s="17"/>
      <c r="F1" s="17"/>
      <c r="G1" s="17"/>
      <c r="H1" s="17"/>
    </row>
    <row r="3" spans="1:8" x14ac:dyDescent="0.3">
      <c r="A3" s="1" t="s">
        <v>160</v>
      </c>
      <c r="B3" s="1" t="s">
        <v>161</v>
      </c>
      <c r="C3" s="1" t="s">
        <v>162</v>
      </c>
    </row>
    <row r="4" spans="1:8" x14ac:dyDescent="0.3">
      <c r="A4" s="6">
        <v>258.51</v>
      </c>
      <c r="B4" s="6">
        <v>466.65375</v>
      </c>
      <c r="C4" s="5">
        <v>8</v>
      </c>
    </row>
    <row r="5" spans="1:8" x14ac:dyDescent="0.3">
      <c r="A5" s="6">
        <v>466.65375</v>
      </c>
      <c r="B5" s="6">
        <v>674.79750000000001</v>
      </c>
      <c r="C5" s="5">
        <v>20</v>
      </c>
    </row>
    <row r="6" spans="1:8" x14ac:dyDescent="0.3">
      <c r="A6" s="6">
        <v>674.79750000000001</v>
      </c>
      <c r="B6" s="6">
        <v>882.94125000000008</v>
      </c>
      <c r="C6" s="5">
        <v>52</v>
      </c>
    </row>
    <row r="7" spans="1:8" x14ac:dyDescent="0.3">
      <c r="A7" s="6">
        <v>882.94125000000008</v>
      </c>
      <c r="B7" s="6">
        <v>1091.085</v>
      </c>
      <c r="C7" s="5">
        <v>50</v>
      </c>
    </row>
    <row r="8" spans="1:8" x14ac:dyDescent="0.3">
      <c r="A8" s="6">
        <v>1091.085</v>
      </c>
      <c r="B8" s="6">
        <v>1299.22875</v>
      </c>
      <c r="C8" s="5">
        <v>42</v>
      </c>
    </row>
    <row r="9" spans="1:8" x14ac:dyDescent="0.3">
      <c r="A9" s="6">
        <v>1299.22875</v>
      </c>
      <c r="B9" s="6">
        <v>1507.3724999999999</v>
      </c>
      <c r="C9" s="5">
        <v>21</v>
      </c>
    </row>
    <row r="10" spans="1:8" x14ac:dyDescent="0.3">
      <c r="A10" s="6">
        <v>1507.3724999999999</v>
      </c>
      <c r="B10" s="6">
        <v>1715.5162499999999</v>
      </c>
      <c r="C10" s="5">
        <v>6</v>
      </c>
    </row>
    <row r="11" spans="1:8" x14ac:dyDescent="0.3">
      <c r="A11" s="6">
        <v>1715.5162499999999</v>
      </c>
      <c r="B11" s="6">
        <v>1923.66</v>
      </c>
      <c r="C11" s="5">
        <v>1</v>
      </c>
    </row>
  </sheetData>
  <mergeCells count="1">
    <mergeCell ref="A1:H1"/>
  </mergeCells>
  <pageMargins left="0.75" right="0.75" top="1" bottom="1" header="0.5" footer="0.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16"/>
  <sheetViews>
    <sheetView showGridLines="0" workbookViewId="0"/>
  </sheetViews>
  <sheetFormatPr defaultRowHeight="14.4" x14ac:dyDescent="0.3"/>
  <cols>
    <col min="1" max="1" width="28" customWidth="1"/>
    <col min="2" max="2" width="20" customWidth="1"/>
    <col min="3" max="4" width="10" customWidth="1"/>
    <col min="5" max="5" width="12" customWidth="1"/>
    <col min="6" max="6" width="28" customWidth="1"/>
  </cols>
  <sheetData>
    <row r="1" spans="1:6" ht="28.05" customHeight="1" x14ac:dyDescent="0.4">
      <c r="A1" s="22" t="s">
        <v>163</v>
      </c>
      <c r="B1" s="17"/>
      <c r="C1" s="17"/>
      <c r="D1" s="17"/>
      <c r="E1" s="17"/>
      <c r="F1" s="17"/>
    </row>
    <row r="3" spans="1:6" x14ac:dyDescent="0.3">
      <c r="A3" s="1" t="s">
        <v>9</v>
      </c>
      <c r="B3" s="1" t="s">
        <v>10</v>
      </c>
      <c r="C3" s="1" t="s">
        <v>11</v>
      </c>
      <c r="D3" s="1" t="s">
        <v>56</v>
      </c>
      <c r="E3" s="1" t="s">
        <v>164</v>
      </c>
      <c r="F3" s="1" t="s">
        <v>165</v>
      </c>
    </row>
    <row r="4" spans="1:6" x14ac:dyDescent="0.3">
      <c r="A4" s="5" t="s">
        <v>12</v>
      </c>
      <c r="B4" s="6">
        <v>19029.96</v>
      </c>
      <c r="C4" s="6">
        <v>6244.01</v>
      </c>
      <c r="D4" s="5">
        <v>176</v>
      </c>
      <c r="E4" s="5"/>
      <c r="F4" s="5" t="s">
        <v>166</v>
      </c>
    </row>
    <row r="5" spans="1:6" x14ac:dyDescent="0.3">
      <c r="A5" s="5" t="s">
        <v>13</v>
      </c>
      <c r="B5" s="6">
        <v>18507.34</v>
      </c>
      <c r="C5" s="6">
        <v>6121.35</v>
      </c>
      <c r="D5" s="5">
        <v>227</v>
      </c>
      <c r="E5" s="11">
        <f t="shared" ref="E5:E16" si="0">B5/B4-1</f>
        <v>-2.7463010957458622E-2</v>
      </c>
      <c r="F5" s="5" t="str">
        <f t="shared" ref="F5:F16" si="1">IF(E5&gt;0,"↑",IF(E5&lt;0,"↓","→"))</f>
        <v>↓</v>
      </c>
    </row>
    <row r="6" spans="1:6" x14ac:dyDescent="0.3">
      <c r="A6" s="5" t="s">
        <v>14</v>
      </c>
      <c r="B6" s="6">
        <v>20187.509999999998</v>
      </c>
      <c r="C6" s="6">
        <v>6918</v>
      </c>
      <c r="D6" s="5">
        <v>198</v>
      </c>
      <c r="E6" s="11">
        <f t="shared" si="0"/>
        <v>9.0783980842195522E-2</v>
      </c>
      <c r="F6" s="5" t="str">
        <f t="shared" si="1"/>
        <v>↑</v>
      </c>
    </row>
    <row r="7" spans="1:6" x14ac:dyDescent="0.3">
      <c r="A7" s="5" t="s">
        <v>15</v>
      </c>
      <c r="B7" s="6">
        <v>11609.04</v>
      </c>
      <c r="C7" s="6">
        <v>3743.85</v>
      </c>
      <c r="D7" s="5">
        <v>120</v>
      </c>
      <c r="E7" s="11">
        <f t="shared" si="0"/>
        <v>-0.42493947990613989</v>
      </c>
      <c r="F7" s="5" t="str">
        <f t="shared" si="1"/>
        <v>↓</v>
      </c>
    </row>
    <row r="8" spans="1:6" x14ac:dyDescent="0.3">
      <c r="A8" s="5" t="s">
        <v>16</v>
      </c>
      <c r="B8" s="6">
        <v>10091.700000000001</v>
      </c>
      <c r="C8" s="6">
        <v>3302.84</v>
      </c>
      <c r="D8" s="5">
        <v>98</v>
      </c>
      <c r="E8" s="11">
        <f t="shared" si="0"/>
        <v>-0.13070331396911372</v>
      </c>
      <c r="F8" s="5" t="str">
        <f t="shared" si="1"/>
        <v>↓</v>
      </c>
    </row>
    <row r="9" spans="1:6" x14ac:dyDescent="0.3">
      <c r="A9" s="5" t="s">
        <v>17</v>
      </c>
      <c r="B9" s="6">
        <v>20533.5</v>
      </c>
      <c r="C9" s="6">
        <v>7457.52</v>
      </c>
      <c r="D9" s="5">
        <v>200</v>
      </c>
      <c r="E9" s="11">
        <f t="shared" si="0"/>
        <v>1.0346918755016499</v>
      </c>
      <c r="F9" s="5" t="str">
        <f t="shared" si="1"/>
        <v>↑</v>
      </c>
    </row>
    <row r="10" spans="1:6" x14ac:dyDescent="0.3">
      <c r="A10" s="5" t="s">
        <v>18</v>
      </c>
      <c r="B10" s="6">
        <v>14215.24</v>
      </c>
      <c r="C10" s="6">
        <v>4861.7</v>
      </c>
      <c r="D10" s="5">
        <v>146</v>
      </c>
      <c r="E10" s="11">
        <f t="shared" si="0"/>
        <v>-0.30770496992719221</v>
      </c>
      <c r="F10" s="5" t="str">
        <f t="shared" si="1"/>
        <v>↓</v>
      </c>
    </row>
    <row r="11" spans="1:6" x14ac:dyDescent="0.3">
      <c r="A11" s="5" t="s">
        <v>19</v>
      </c>
      <c r="B11" s="6">
        <v>20135.03</v>
      </c>
      <c r="C11" s="6">
        <v>6814.88</v>
      </c>
      <c r="D11" s="5">
        <v>167</v>
      </c>
      <c r="E11" s="11">
        <f t="shared" si="0"/>
        <v>0.41643968023051303</v>
      </c>
      <c r="F11" s="5" t="str">
        <f t="shared" si="1"/>
        <v>↑</v>
      </c>
    </row>
    <row r="12" spans="1:6" x14ac:dyDescent="0.3">
      <c r="A12" s="5" t="s">
        <v>20</v>
      </c>
      <c r="B12" s="6">
        <v>11120.04</v>
      </c>
      <c r="C12" s="6">
        <v>3549.99</v>
      </c>
      <c r="D12" s="5">
        <v>134</v>
      </c>
      <c r="E12" s="11">
        <f t="shared" si="0"/>
        <v>-0.44772667336477767</v>
      </c>
      <c r="F12" s="5" t="str">
        <f t="shared" si="1"/>
        <v>↓</v>
      </c>
    </row>
    <row r="13" spans="1:6" x14ac:dyDescent="0.3">
      <c r="A13" s="5" t="s">
        <v>21</v>
      </c>
      <c r="B13" s="6">
        <v>14914.65</v>
      </c>
      <c r="C13" s="6">
        <v>5763.4</v>
      </c>
      <c r="D13" s="5">
        <v>162</v>
      </c>
      <c r="E13" s="11">
        <f t="shared" si="0"/>
        <v>0.34124067899036326</v>
      </c>
      <c r="F13" s="5" t="str">
        <f t="shared" si="1"/>
        <v>↑</v>
      </c>
    </row>
    <row r="14" spans="1:6" x14ac:dyDescent="0.3">
      <c r="A14" s="5" t="s">
        <v>22</v>
      </c>
      <c r="B14" s="6">
        <v>14006.36</v>
      </c>
      <c r="C14" s="6">
        <v>5039.2299999999996</v>
      </c>
      <c r="D14" s="5">
        <v>132</v>
      </c>
      <c r="E14" s="11">
        <f t="shared" si="0"/>
        <v>-6.0899183018039205E-2</v>
      </c>
      <c r="F14" s="5" t="str">
        <f t="shared" si="1"/>
        <v>↓</v>
      </c>
    </row>
    <row r="15" spans="1:6" x14ac:dyDescent="0.3">
      <c r="A15" s="5" t="s">
        <v>23</v>
      </c>
      <c r="B15" s="6">
        <v>17655.22</v>
      </c>
      <c r="C15" s="6">
        <v>7071.39</v>
      </c>
      <c r="D15" s="5">
        <v>209</v>
      </c>
      <c r="E15" s="11">
        <f t="shared" si="0"/>
        <v>0.26051450912299834</v>
      </c>
      <c r="F15" s="5" t="str">
        <f t="shared" si="1"/>
        <v>↑</v>
      </c>
    </row>
    <row r="16" spans="1:6" x14ac:dyDescent="0.3">
      <c r="A16" s="5" t="s">
        <v>24</v>
      </c>
      <c r="B16" s="6">
        <v>3212.17</v>
      </c>
      <c r="C16" s="6">
        <v>1398.85</v>
      </c>
      <c r="D16" s="5">
        <v>30</v>
      </c>
      <c r="E16" s="11">
        <f t="shared" si="0"/>
        <v>-0.81806117397574196</v>
      </c>
      <c r="F16" s="5" t="str">
        <f t="shared" si="1"/>
        <v>↓</v>
      </c>
    </row>
  </sheetData>
  <mergeCells count="1">
    <mergeCell ref="A1:F1"/>
  </mergeCells>
  <conditionalFormatting sqref="E5:E16">
    <cfRule type="cellIs" dxfId="1" priority="1" operator="greaterThan">
      <formula>0</formula>
    </cfRule>
    <cfRule type="cellIs" dxfId="0" priority="2" operator="lessThan">
      <formula>0</formula>
    </cfRule>
  </conditionalFormatting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20"/>
  <sheetViews>
    <sheetView showGridLines="0" workbookViewId="0"/>
  </sheetViews>
  <sheetFormatPr defaultRowHeight="14.4" x14ac:dyDescent="0.3"/>
  <cols>
    <col min="1" max="3" width="28" customWidth="1"/>
    <col min="4" max="4" width="19" customWidth="1"/>
    <col min="5" max="5" width="20" customWidth="1"/>
    <col min="6" max="6" width="10" customWidth="1"/>
    <col min="7" max="7" width="12" customWidth="1"/>
  </cols>
  <sheetData>
    <row r="1" spans="1:7" ht="28.05" customHeight="1" x14ac:dyDescent="0.4">
      <c r="A1" s="22" t="s">
        <v>167</v>
      </c>
      <c r="B1" s="17"/>
      <c r="C1" s="17"/>
      <c r="D1" s="17"/>
      <c r="E1" s="17"/>
      <c r="F1" s="17"/>
      <c r="G1" s="17"/>
    </row>
    <row r="3" spans="1:7" x14ac:dyDescent="0.3">
      <c r="A3" s="1" t="s">
        <v>121</v>
      </c>
      <c r="B3" s="1" t="s">
        <v>52</v>
      </c>
      <c r="C3" s="1" t="s">
        <v>53</v>
      </c>
      <c r="D3" s="1" t="s">
        <v>119</v>
      </c>
      <c r="E3" s="1" t="s">
        <v>2</v>
      </c>
      <c r="F3" s="1" t="s">
        <v>120</v>
      </c>
      <c r="G3" s="1" t="s">
        <v>168</v>
      </c>
    </row>
    <row r="4" spans="1:7" x14ac:dyDescent="0.3">
      <c r="A4" s="5">
        <v>1</v>
      </c>
      <c r="B4" s="5" t="s">
        <v>99</v>
      </c>
      <c r="C4" s="5" t="str">
        <f>INDEX(Dataset!$B$2:$B$201,MATCH(B4,Dataset!$A$2:$A$201,0))</f>
        <v>Linda Taylor</v>
      </c>
      <c r="D4" s="6">
        <v>11611.06</v>
      </c>
      <c r="E4" s="6">
        <v>4201.59</v>
      </c>
      <c r="F4" s="5">
        <v>11</v>
      </c>
      <c r="G4" s="5" t="s">
        <v>169</v>
      </c>
    </row>
    <row r="5" spans="1:7" x14ac:dyDescent="0.3">
      <c r="A5" s="5">
        <v>2</v>
      </c>
      <c r="B5" s="5" t="s">
        <v>93</v>
      </c>
      <c r="C5" s="5" t="str">
        <f>INDEX(Dataset!$B$2:$B$201,MATCH(B5,Dataset!$A$2:$A$201,0))</f>
        <v>Linda Taylor</v>
      </c>
      <c r="D5" s="6">
        <v>10293.870000000001</v>
      </c>
      <c r="E5" s="6">
        <v>3541.02</v>
      </c>
      <c r="F5" s="5">
        <v>12</v>
      </c>
      <c r="G5" s="5" t="s">
        <v>169</v>
      </c>
    </row>
    <row r="6" spans="1:7" x14ac:dyDescent="0.3">
      <c r="A6" s="5">
        <v>3</v>
      </c>
      <c r="B6" s="5" t="s">
        <v>69</v>
      </c>
      <c r="C6" s="5" t="str">
        <f>INDEX(Dataset!$B$2:$B$201,MATCH(B6,Dataset!$A$2:$A$201,0))</f>
        <v>Michael Anderson</v>
      </c>
      <c r="D6" s="6">
        <v>9941.8799999999992</v>
      </c>
      <c r="E6" s="6">
        <v>3936.26</v>
      </c>
      <c r="F6" s="5">
        <v>10</v>
      </c>
      <c r="G6" s="5" t="s">
        <v>169</v>
      </c>
    </row>
    <row r="7" spans="1:7" x14ac:dyDescent="0.3">
      <c r="A7" s="5">
        <v>4</v>
      </c>
      <c r="B7" s="5" t="s">
        <v>85</v>
      </c>
      <c r="C7" s="5" t="str">
        <f>INDEX(Dataset!$B$2:$B$201,MATCH(B7,Dataset!$A$2:$A$201,0))</f>
        <v>Robert Anderson</v>
      </c>
      <c r="D7" s="6">
        <v>9760.8000000000011</v>
      </c>
      <c r="E7" s="6">
        <v>3442.48</v>
      </c>
      <c r="F7" s="5">
        <v>10</v>
      </c>
      <c r="G7" s="5" t="s">
        <v>169</v>
      </c>
    </row>
    <row r="8" spans="1:7" x14ac:dyDescent="0.3">
      <c r="A8" s="5">
        <v>5</v>
      </c>
      <c r="B8" s="5" t="s">
        <v>73</v>
      </c>
      <c r="C8" s="5" t="str">
        <f>INDEX(Dataset!$B$2:$B$201,MATCH(B8,Dataset!$A$2:$A$201,0))</f>
        <v>Mary Davis</v>
      </c>
      <c r="D8" s="6">
        <v>9371.81</v>
      </c>
      <c r="E8" s="6">
        <v>2922.02</v>
      </c>
      <c r="F8" s="5">
        <v>9</v>
      </c>
      <c r="G8" s="5" t="s">
        <v>169</v>
      </c>
    </row>
    <row r="9" spans="1:7" x14ac:dyDescent="0.3">
      <c r="A9" s="5">
        <v>6</v>
      </c>
      <c r="B9" s="5" t="s">
        <v>98</v>
      </c>
      <c r="C9" s="5" t="str">
        <f>INDEX(Dataset!$B$2:$B$201,MATCH(B9,Dataset!$A$2:$A$201,0))</f>
        <v>Sarah Anderson</v>
      </c>
      <c r="D9" s="6">
        <v>8740.18</v>
      </c>
      <c r="E9" s="6">
        <v>2848.62</v>
      </c>
      <c r="F9" s="5">
        <v>8</v>
      </c>
      <c r="G9" s="5" t="s">
        <v>169</v>
      </c>
    </row>
    <row r="10" spans="1:7" x14ac:dyDescent="0.3">
      <c r="A10" s="5">
        <v>7</v>
      </c>
      <c r="B10" s="5" t="s">
        <v>108</v>
      </c>
      <c r="C10" s="5" t="str">
        <f>INDEX(Dataset!$B$2:$B$201,MATCH(B10,Dataset!$A$2:$A$201,0))</f>
        <v>Emma Davis</v>
      </c>
      <c r="D10" s="6">
        <v>8490.18</v>
      </c>
      <c r="E10" s="6">
        <v>2652.75</v>
      </c>
      <c r="F10" s="5">
        <v>9</v>
      </c>
      <c r="G10" s="5" t="s">
        <v>169</v>
      </c>
    </row>
    <row r="11" spans="1:7" x14ac:dyDescent="0.3">
      <c r="A11" s="5">
        <v>8</v>
      </c>
      <c r="B11" s="5" t="s">
        <v>62</v>
      </c>
      <c r="C11" s="5" t="str">
        <f>INDEX(Dataset!$B$2:$B$201,MATCH(B11,Dataset!$A$2:$A$201,0))</f>
        <v>Robert Anderson</v>
      </c>
      <c r="D11" s="6">
        <v>8339</v>
      </c>
      <c r="E11" s="6">
        <v>2988.71</v>
      </c>
      <c r="F11" s="5">
        <v>9</v>
      </c>
      <c r="G11" s="5" t="s">
        <v>169</v>
      </c>
    </row>
    <row r="12" spans="1:7" x14ac:dyDescent="0.3">
      <c r="A12" s="5">
        <v>9</v>
      </c>
      <c r="B12" s="5" t="s">
        <v>67</v>
      </c>
      <c r="C12" s="5" t="str">
        <f>INDEX(Dataset!$B$2:$B$201,MATCH(B12,Dataset!$A$2:$A$201,0))</f>
        <v>James Wilson</v>
      </c>
      <c r="D12" s="6">
        <v>7928.71</v>
      </c>
      <c r="E12" s="6">
        <v>2965.48</v>
      </c>
      <c r="F12" s="5">
        <v>9</v>
      </c>
      <c r="G12" s="5" t="s">
        <v>169</v>
      </c>
    </row>
    <row r="13" spans="1:7" x14ac:dyDescent="0.3">
      <c r="A13" s="5">
        <v>10</v>
      </c>
      <c r="B13" s="5" t="s">
        <v>113</v>
      </c>
      <c r="C13" s="5" t="str">
        <f>INDEX(Dataset!$B$2:$B$201,MATCH(B13,Dataset!$A$2:$A$201,0))</f>
        <v>Lisa Thomas</v>
      </c>
      <c r="D13" s="6">
        <v>7813.59</v>
      </c>
      <c r="E13" s="6">
        <v>3211.82</v>
      </c>
      <c r="F13" s="5">
        <v>7</v>
      </c>
      <c r="G13" s="5" t="s">
        <v>169</v>
      </c>
    </row>
    <row r="16" spans="1:7" ht="15.6" x14ac:dyDescent="0.3">
      <c r="A16" s="3" t="s">
        <v>170</v>
      </c>
    </row>
    <row r="17" spans="1:2" x14ac:dyDescent="0.3">
      <c r="A17" s="5" t="s">
        <v>171</v>
      </c>
      <c r="B17" s="5" t="s">
        <v>99</v>
      </c>
    </row>
    <row r="18" spans="1:2" x14ac:dyDescent="0.3">
      <c r="A18" s="5" t="s">
        <v>172</v>
      </c>
      <c r="B18" s="5" t="str">
        <f>INDEX(Dataset!$B$2:$B$201,MATCH(B17,Dataset!$A$2:$A$201,0))</f>
        <v>Linda Taylor</v>
      </c>
    </row>
    <row r="19" spans="1:2" x14ac:dyDescent="0.3">
      <c r="A19" s="5" t="s">
        <v>119</v>
      </c>
      <c r="B19" s="6">
        <f>SUMIF(Dataset!$A$2:$A$201,B17,Dataset!$E$2:$E$201)</f>
        <v>11611.060000000001</v>
      </c>
    </row>
    <row r="20" spans="1:2" x14ac:dyDescent="0.3">
      <c r="A20" s="5" t="s">
        <v>2</v>
      </c>
      <c r="B20" s="6">
        <f>SUMIF(Dataset!$A$2:$A$201,B17,Dataset!$I$2:$I$201)</f>
        <v>4201.59</v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17"/>
  <sheetViews>
    <sheetView showGridLines="0" workbookViewId="0"/>
  </sheetViews>
  <sheetFormatPr defaultRowHeight="14.4" x14ac:dyDescent="0.3"/>
  <cols>
    <col min="1" max="1" width="28" customWidth="1"/>
    <col min="2" max="2" width="15" customWidth="1"/>
    <col min="3" max="3" width="16" customWidth="1"/>
    <col min="4" max="5" width="13" customWidth="1"/>
    <col min="6" max="6" width="19" customWidth="1"/>
    <col min="7" max="7" width="13" customWidth="1"/>
  </cols>
  <sheetData>
    <row r="1" spans="1:8" ht="28.05" customHeight="1" x14ac:dyDescent="0.4">
      <c r="A1" s="22" t="s">
        <v>173</v>
      </c>
      <c r="B1" s="17"/>
      <c r="C1" s="17"/>
      <c r="D1" s="17"/>
      <c r="E1" s="17"/>
      <c r="F1" s="17"/>
      <c r="G1" s="17"/>
      <c r="H1" s="17"/>
    </row>
    <row r="3" spans="1:8" x14ac:dyDescent="0.3">
      <c r="A3" s="1" t="s">
        <v>54</v>
      </c>
      <c r="B3" s="1" t="s">
        <v>8</v>
      </c>
      <c r="C3" s="1" t="s">
        <v>27</v>
      </c>
      <c r="D3" s="1" t="s">
        <v>29</v>
      </c>
      <c r="E3" s="1" t="s">
        <v>31</v>
      </c>
      <c r="F3" s="1" t="s">
        <v>33</v>
      </c>
      <c r="G3" s="1" t="s">
        <v>174</v>
      </c>
    </row>
    <row r="4" spans="1:8" x14ac:dyDescent="0.3">
      <c r="A4" s="5" t="s">
        <v>26</v>
      </c>
      <c r="B4" s="6">
        <v>11297.15</v>
      </c>
      <c r="C4" s="6">
        <v>12200.26</v>
      </c>
      <c r="D4" s="6">
        <v>6621.24</v>
      </c>
      <c r="E4" s="6">
        <v>4876.96</v>
      </c>
      <c r="F4" s="6">
        <v>8472.7199999999993</v>
      </c>
      <c r="G4" s="5">
        <f>SUM(B4:F4)</f>
        <v>43468.33</v>
      </c>
    </row>
    <row r="5" spans="1:8" x14ac:dyDescent="0.3">
      <c r="A5" s="5" t="s">
        <v>32</v>
      </c>
      <c r="B5" s="6">
        <v>11389.09</v>
      </c>
      <c r="C5" s="6">
        <v>2401.4499999999998</v>
      </c>
      <c r="D5" s="6">
        <v>2869.54</v>
      </c>
      <c r="E5" s="6">
        <v>7592.34</v>
      </c>
      <c r="F5" s="6">
        <v>8189.2199999999993</v>
      </c>
      <c r="G5" s="5">
        <f>SUM(B5:F5)</f>
        <v>32441.64</v>
      </c>
    </row>
    <row r="6" spans="1:8" x14ac:dyDescent="0.3">
      <c r="A6" s="5" t="s">
        <v>30</v>
      </c>
      <c r="B6" s="6">
        <v>8037.01</v>
      </c>
      <c r="C6" s="6">
        <v>8422.82</v>
      </c>
      <c r="D6" s="6">
        <v>8191.71</v>
      </c>
      <c r="E6" s="6">
        <v>6978.08</v>
      </c>
      <c r="F6" s="6">
        <v>3345.8</v>
      </c>
      <c r="G6" s="5">
        <f>SUM(B6:F6)</f>
        <v>34975.420000000006</v>
      </c>
    </row>
    <row r="7" spans="1:8" x14ac:dyDescent="0.3">
      <c r="A7" s="5" t="s">
        <v>28</v>
      </c>
      <c r="B7" s="6">
        <v>9588.0400000000009</v>
      </c>
      <c r="C7" s="6">
        <v>8393.6299999999992</v>
      </c>
      <c r="D7" s="6">
        <v>11989.07</v>
      </c>
      <c r="E7" s="6">
        <v>7982.73</v>
      </c>
      <c r="F7" s="6">
        <v>2295.3200000000002</v>
      </c>
      <c r="G7" s="5">
        <f>SUM(B7:F7)</f>
        <v>40248.79</v>
      </c>
    </row>
    <row r="8" spans="1:8" x14ac:dyDescent="0.3">
      <c r="A8" s="5" t="s">
        <v>7</v>
      </c>
      <c r="B8" s="6">
        <v>6691.17</v>
      </c>
      <c r="C8" s="6">
        <v>10509.43</v>
      </c>
      <c r="D8" s="6">
        <v>11372.44</v>
      </c>
      <c r="E8" s="6">
        <v>9182.7800000000007</v>
      </c>
      <c r="F8" s="6">
        <v>6327.76</v>
      </c>
      <c r="G8" s="5">
        <f>SUM(B8:F8)</f>
        <v>44083.58</v>
      </c>
    </row>
    <row r="9" spans="1:8" x14ac:dyDescent="0.3">
      <c r="A9" s="14" t="s">
        <v>174</v>
      </c>
      <c r="B9" s="15">
        <f t="shared" ref="B9:G9" si="0">SUM(B4:B8)</f>
        <v>47002.46</v>
      </c>
      <c r="C9" s="15">
        <f t="shared" si="0"/>
        <v>41927.589999999997</v>
      </c>
      <c r="D9" s="15">
        <f t="shared" si="0"/>
        <v>41044</v>
      </c>
      <c r="E9" s="15">
        <f t="shared" si="0"/>
        <v>36612.89</v>
      </c>
      <c r="F9" s="15">
        <f t="shared" si="0"/>
        <v>28630.82</v>
      </c>
      <c r="G9" s="15">
        <f t="shared" si="0"/>
        <v>195217.76</v>
      </c>
    </row>
    <row r="11" spans="1:8" x14ac:dyDescent="0.3">
      <c r="A11" s="1" t="s">
        <v>175</v>
      </c>
      <c r="B11" s="1" t="s">
        <v>1</v>
      </c>
      <c r="C11" s="1" t="s">
        <v>176</v>
      </c>
    </row>
    <row r="12" spans="1:8" x14ac:dyDescent="0.3">
      <c r="A12" s="5" t="s">
        <v>8</v>
      </c>
      <c r="B12" s="6">
        <v>47002.46</v>
      </c>
      <c r="C12" s="11">
        <f>B12/$B$17</f>
        <v>0.24076938491661823</v>
      </c>
    </row>
    <row r="13" spans="1:8" x14ac:dyDescent="0.3">
      <c r="A13" s="5" t="s">
        <v>27</v>
      </c>
      <c r="B13" s="6">
        <v>41927.589999999997</v>
      </c>
      <c r="C13" s="11">
        <f>B13/$B$17</f>
        <v>0.21477344069514984</v>
      </c>
    </row>
    <row r="14" spans="1:8" x14ac:dyDescent="0.3">
      <c r="A14" s="5" t="s">
        <v>29</v>
      </c>
      <c r="B14" s="6">
        <v>41044</v>
      </c>
      <c r="C14" s="11">
        <f>B14/$B$17</f>
        <v>0.21024726438824007</v>
      </c>
    </row>
    <row r="15" spans="1:8" x14ac:dyDescent="0.3">
      <c r="A15" s="5" t="s">
        <v>31</v>
      </c>
      <c r="B15" s="6">
        <v>36612.89</v>
      </c>
      <c r="C15" s="11">
        <f>B15/$B$17</f>
        <v>0.18754897095428202</v>
      </c>
    </row>
    <row r="16" spans="1:8" x14ac:dyDescent="0.3">
      <c r="A16" s="5" t="s">
        <v>33</v>
      </c>
      <c r="B16" s="6">
        <v>28630.82</v>
      </c>
      <c r="C16" s="11">
        <f>B16/$B$17</f>
        <v>0.14666093904570976</v>
      </c>
    </row>
    <row r="17" spans="1:2" x14ac:dyDescent="0.3">
      <c r="A17" t="s">
        <v>158</v>
      </c>
      <c r="B17" s="2">
        <f>SUM(B12:B16)</f>
        <v>195217.76</v>
      </c>
    </row>
  </sheetData>
  <mergeCells count="1">
    <mergeCell ref="A1:H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Project Instructions</vt:lpstr>
      <vt:lpstr>Dataset</vt:lpstr>
      <vt:lpstr>Customer Summary</vt:lpstr>
      <vt:lpstr>What-If Analysis</vt:lpstr>
      <vt:lpstr>Regression</vt:lpstr>
      <vt:lpstr>Descriptive Stats</vt:lpstr>
      <vt:lpstr>Histogram</vt:lpstr>
      <vt:lpstr>Monthly Growth</vt:lpstr>
      <vt:lpstr>High-Value Customers</vt:lpstr>
      <vt:lpstr>Pivot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NIRAL DALSANIYA</cp:lastModifiedBy>
  <dcterms:created xsi:type="dcterms:W3CDTF">2026-10-06T09:52:13Z</dcterms:created>
  <dcterms:modified xsi:type="dcterms:W3CDTF">2026-10-06T09:54:29Z</dcterms:modified>
</cp:coreProperties>
</file>